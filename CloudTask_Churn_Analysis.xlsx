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ang\Downloads\"/>
    </mc:Choice>
  </mc:AlternateContent>
  <xr:revisionPtr revIDLastSave="0" documentId="13_ncr:1_{A6AC102B-3C40-4EEC-BF0F-6EBECB79A71F}" xr6:coauthVersionLast="47" xr6:coauthVersionMax="47" xr10:uidLastSave="{00000000-0000-0000-0000-000000000000}"/>
  <bookViews>
    <workbookView xWindow="-98" yWindow="-98" windowWidth="19396" windowHeight="10276" activeTab="3" xr2:uid="{8F259AA6-E35C-4459-8A81-01D60ECD809E}"/>
  </bookViews>
  <sheets>
    <sheet name="Subscriptions" sheetId="2" r:id="rId1"/>
    <sheet name="Monthly Revenue" sheetId="3" r:id="rId2"/>
    <sheet name="Validation" sheetId="4" r:id="rId3"/>
    <sheet name="Pivot - Churn" sheetId="5" r:id="rId4"/>
    <sheet name="Pivot - Reasons" sheetId="6" r:id="rId5"/>
  </sheets>
  <definedNames>
    <definedName name="ExternalData_1" localSheetId="1" hidden="1">'Monthly Revenue'!$A$1:$H$49</definedName>
    <definedName name="ExternalData_1" localSheetId="0" hidden="1">Subscriptions!$A$1:$R$601</definedName>
  </definedNames>
  <calcPr calcId="191029"/>
  <pivotCaches>
    <pivotCache cacheId="2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1" i="3" l="1"/>
  <c r="D10" i="5"/>
  <c r="D9" i="5"/>
  <c r="D3" i="5"/>
  <c r="D4" i="5"/>
  <c r="D5" i="5"/>
  <c r="D6" i="5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A5" i="4"/>
  <c r="A4" i="4"/>
  <c r="A2" i="4"/>
  <c r="D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318460-0F4E-4FB9-A373-359011813FEC}" keepAlive="1" name="Query - monthly_revenue" description="Connection to the 'monthly_revenue' query in the workbook." type="5" refreshedVersion="8" background="1" saveData="1">
    <dbPr connection="Provider=Microsoft.Mashup.OleDb.1;Data Source=$Workbook$;Location=monthly_revenue;Extended Properties=&quot;&quot;" command="SELECT * FROM [monthly_revenue]"/>
  </connection>
  <connection id="2" xr16:uid="{32466876-A948-4D80-9AC7-686D22348708}" keepAlive="1" name="Query - subscriptions" description="Connection to the 'subscriptions' query in the workbook." type="5" refreshedVersion="8" background="1" saveData="1">
    <dbPr connection="Provider=Microsoft.Mashup.OleDb.1;Data Source=$Workbook$;Location=subscriptions;Extended Properties=&quot;&quot;" command="SELECT * FROM [subscriptions]"/>
  </connection>
</connections>
</file>

<file path=xl/sharedStrings.xml><?xml version="1.0" encoding="utf-8"?>
<sst xmlns="http://schemas.openxmlformats.org/spreadsheetml/2006/main" count="6151" uniqueCount="680">
  <si>
    <t>customer_id</t>
  </si>
  <si>
    <t>plan</t>
  </si>
  <si>
    <t>billing_cycle</t>
  </si>
  <si>
    <t>industry</t>
  </si>
  <si>
    <t>company_size</t>
  </si>
  <si>
    <t>seats</t>
  </si>
  <si>
    <t>monthly_revenue</t>
  </si>
  <si>
    <t>acquisition_channel</t>
  </si>
  <si>
    <t>region</t>
  </si>
  <si>
    <t>signup_date</t>
  </si>
  <si>
    <t>churned</t>
  </si>
  <si>
    <t>churn_date</t>
  </si>
  <si>
    <t>churn_reason</t>
  </si>
  <si>
    <t>support_tickets_12mo</t>
  </si>
  <si>
    <t>nps_score</t>
  </si>
  <si>
    <t>feature_usage_pct</t>
  </si>
  <si>
    <t>upgraded</t>
  </si>
  <si>
    <t>CUST-0001</t>
  </si>
  <si>
    <t>Professional</t>
  </si>
  <si>
    <t>Monthly</t>
  </si>
  <si>
    <t>Retail</t>
  </si>
  <si>
    <t>51-200</t>
  </si>
  <si>
    <t>Organic Search</t>
  </si>
  <si>
    <t>North America</t>
  </si>
  <si>
    <t>Yes</t>
  </si>
  <si>
    <t>Price Too High</t>
  </si>
  <si>
    <t>No</t>
  </si>
  <si>
    <t>CUST-0002</t>
  </si>
  <si>
    <t>Annual</t>
  </si>
  <si>
    <t>Direct Sales</t>
  </si>
  <si>
    <t/>
  </si>
  <si>
    <t>CUST-0003</t>
  </si>
  <si>
    <t>Starter</t>
  </si>
  <si>
    <t>Finance</t>
  </si>
  <si>
    <t>500+</t>
  </si>
  <si>
    <t>Partner</t>
  </si>
  <si>
    <t>CUST-0004</t>
  </si>
  <si>
    <t>Business</t>
  </si>
  <si>
    <t>Real Estate</t>
  </si>
  <si>
    <t>11-50</t>
  </si>
  <si>
    <t>Europe</t>
  </si>
  <si>
    <t>CUST-0005</t>
  </si>
  <si>
    <t>Manufacturing</t>
  </si>
  <si>
    <t>CUST-0006</t>
  </si>
  <si>
    <t>Technology</t>
  </si>
  <si>
    <t>1-10</t>
  </si>
  <si>
    <t>Referral</t>
  </si>
  <si>
    <t>CUST-0007</t>
  </si>
  <si>
    <t>201-500</t>
  </si>
  <si>
    <t>Poor Support</t>
  </si>
  <si>
    <t>CUST-0008</t>
  </si>
  <si>
    <t>CUST-0009</t>
  </si>
  <si>
    <t>Media</t>
  </si>
  <si>
    <t>Switched Competitor</t>
  </si>
  <si>
    <t>CUST-0010</t>
  </si>
  <si>
    <t>Healthcare</t>
  </si>
  <si>
    <t>Budget Cuts</t>
  </si>
  <si>
    <t>CUST-0011</t>
  </si>
  <si>
    <t>Asia Pacific</t>
  </si>
  <si>
    <t>Company Closed</t>
  </si>
  <si>
    <t>CUST-0012</t>
  </si>
  <si>
    <t>CUST-0013</t>
  </si>
  <si>
    <t>CUST-0014</t>
  </si>
  <si>
    <t>Paid Ads</t>
  </si>
  <si>
    <t>CUST-0015</t>
  </si>
  <si>
    <t>Education</t>
  </si>
  <si>
    <t>No Longer Needed</t>
  </si>
  <si>
    <t>CUST-0016</t>
  </si>
  <si>
    <t>CUST-0017</t>
  </si>
  <si>
    <t>CUST-0018</t>
  </si>
  <si>
    <t>CUST-0019</t>
  </si>
  <si>
    <t>Legal</t>
  </si>
  <si>
    <t>Latin America</t>
  </si>
  <si>
    <t>CUST-0020</t>
  </si>
  <si>
    <t>Enterprise</t>
  </si>
  <si>
    <t>CUST-0021</t>
  </si>
  <si>
    <t>CUST-0022</t>
  </si>
  <si>
    <t>CUST-0023</t>
  </si>
  <si>
    <t>CUST-0024</t>
  </si>
  <si>
    <t>CUST-0025</t>
  </si>
  <si>
    <t>CUST-0026</t>
  </si>
  <si>
    <t>CUST-0027</t>
  </si>
  <si>
    <t>Consulting</t>
  </si>
  <si>
    <t>CUST-0028</t>
  </si>
  <si>
    <t>CUST-0029</t>
  </si>
  <si>
    <t>Missing Features</t>
  </si>
  <si>
    <t>CUST-0030</t>
  </si>
  <si>
    <t>CUST-0031</t>
  </si>
  <si>
    <t>CUST-0032</t>
  </si>
  <si>
    <t>CUST-0033</t>
  </si>
  <si>
    <t>CUST-0034</t>
  </si>
  <si>
    <t>CUST-0035</t>
  </si>
  <si>
    <t>CUST-0036</t>
  </si>
  <si>
    <t>CUST-0037</t>
  </si>
  <si>
    <t>CUST-0038</t>
  </si>
  <si>
    <t>CUST-0039</t>
  </si>
  <si>
    <t>CUST-0040</t>
  </si>
  <si>
    <t>CUST-0041</t>
  </si>
  <si>
    <t>CUST-0042</t>
  </si>
  <si>
    <t>CUST-0043</t>
  </si>
  <si>
    <t>CUST-0044</t>
  </si>
  <si>
    <t>Social Media</t>
  </si>
  <si>
    <t>CUST-0045</t>
  </si>
  <si>
    <t>CUST-0046</t>
  </si>
  <si>
    <t>CUST-0047</t>
  </si>
  <si>
    <t>CUST-0048</t>
  </si>
  <si>
    <t>CUST-0049</t>
  </si>
  <si>
    <t>CUST-0050</t>
  </si>
  <si>
    <t>CUST-0051</t>
  </si>
  <si>
    <t>CUST-0052</t>
  </si>
  <si>
    <t>CUST-0053</t>
  </si>
  <si>
    <t>CUST-0054</t>
  </si>
  <si>
    <t>CUST-0055</t>
  </si>
  <si>
    <t>CUST-0056</t>
  </si>
  <si>
    <t>CUST-0057</t>
  </si>
  <si>
    <t>CUST-0058</t>
  </si>
  <si>
    <t>CUST-0059</t>
  </si>
  <si>
    <t>CUST-0060</t>
  </si>
  <si>
    <t>CUST-0061</t>
  </si>
  <si>
    <t>CUST-0062</t>
  </si>
  <si>
    <t>CUST-0063</t>
  </si>
  <si>
    <t>CUST-0064</t>
  </si>
  <si>
    <t>CUST-0065</t>
  </si>
  <si>
    <t>CUST-0066</t>
  </si>
  <si>
    <t>CUST-0067</t>
  </si>
  <si>
    <t>CUST-0068</t>
  </si>
  <si>
    <t>CUST-0069</t>
  </si>
  <si>
    <t>CUST-0070</t>
  </si>
  <si>
    <t>CUST-0071</t>
  </si>
  <si>
    <t>CUST-0072</t>
  </si>
  <si>
    <t>CUST-0073</t>
  </si>
  <si>
    <t>CUST-0074</t>
  </si>
  <si>
    <t>CUST-0075</t>
  </si>
  <si>
    <t>CUST-0076</t>
  </si>
  <si>
    <t>CUST-0077</t>
  </si>
  <si>
    <t>CUST-0078</t>
  </si>
  <si>
    <t>CUST-0079</t>
  </si>
  <si>
    <t>CUST-0080</t>
  </si>
  <si>
    <t>CUST-0081</t>
  </si>
  <si>
    <t>CUST-0082</t>
  </si>
  <si>
    <t>CUST-0083</t>
  </si>
  <si>
    <t>CUST-0084</t>
  </si>
  <si>
    <t>CUST-0085</t>
  </si>
  <si>
    <t>CUST-0086</t>
  </si>
  <si>
    <t>CUST-0087</t>
  </si>
  <si>
    <t>CUST-0088</t>
  </si>
  <si>
    <t>CUST-0089</t>
  </si>
  <si>
    <t>CUST-0090</t>
  </si>
  <si>
    <t>CUST-0091</t>
  </si>
  <si>
    <t>CUST-0092</t>
  </si>
  <si>
    <t>CUST-0093</t>
  </si>
  <si>
    <t>CUST-0094</t>
  </si>
  <si>
    <t>CUST-0095</t>
  </si>
  <si>
    <t>CUST-0096</t>
  </si>
  <si>
    <t>CUST-0097</t>
  </si>
  <si>
    <t>CUST-0098</t>
  </si>
  <si>
    <t>CUST-0099</t>
  </si>
  <si>
    <t>CUST-0100</t>
  </si>
  <si>
    <t>CUST-0101</t>
  </si>
  <si>
    <t>CUST-0102</t>
  </si>
  <si>
    <t>CUST-0103</t>
  </si>
  <si>
    <t>CUST-0104</t>
  </si>
  <si>
    <t>CUST-0105</t>
  </si>
  <si>
    <t>CUST-0106</t>
  </si>
  <si>
    <t>CUST-0107</t>
  </si>
  <si>
    <t>CUST-0108</t>
  </si>
  <si>
    <t>CUST-0109</t>
  </si>
  <si>
    <t>CUST-0110</t>
  </si>
  <si>
    <t>CUST-0111</t>
  </si>
  <si>
    <t>CUST-0112</t>
  </si>
  <si>
    <t>CUST-0113</t>
  </si>
  <si>
    <t>CUST-0114</t>
  </si>
  <si>
    <t>CUST-0115</t>
  </si>
  <si>
    <t>CUST-0116</t>
  </si>
  <si>
    <t>CUST-0117</t>
  </si>
  <si>
    <t>CUST-0118</t>
  </si>
  <si>
    <t>CUST-0119</t>
  </si>
  <si>
    <t>CUST-0120</t>
  </si>
  <si>
    <t>CUST-0121</t>
  </si>
  <si>
    <t>CUST-0122</t>
  </si>
  <si>
    <t>CUST-0123</t>
  </si>
  <si>
    <t>CUST-0124</t>
  </si>
  <si>
    <t>CUST-0125</t>
  </si>
  <si>
    <t>CUST-0126</t>
  </si>
  <si>
    <t>CUST-0127</t>
  </si>
  <si>
    <t>CUST-0128</t>
  </si>
  <si>
    <t>CUST-0129</t>
  </si>
  <si>
    <t>CUST-0130</t>
  </si>
  <si>
    <t>CUST-0131</t>
  </si>
  <si>
    <t>CUST-0132</t>
  </si>
  <si>
    <t>CUST-0133</t>
  </si>
  <si>
    <t>CUST-0134</t>
  </si>
  <si>
    <t>CUST-0135</t>
  </si>
  <si>
    <t>CUST-0136</t>
  </si>
  <si>
    <t>CUST-0137</t>
  </si>
  <si>
    <t>CUST-0138</t>
  </si>
  <si>
    <t>CUST-0139</t>
  </si>
  <si>
    <t>CUST-0140</t>
  </si>
  <si>
    <t>CUST-0141</t>
  </si>
  <si>
    <t>CUST-0142</t>
  </si>
  <si>
    <t>CUST-0143</t>
  </si>
  <si>
    <t>CUST-0144</t>
  </si>
  <si>
    <t>CUST-0145</t>
  </si>
  <si>
    <t>CUST-0146</t>
  </si>
  <si>
    <t>CUST-0147</t>
  </si>
  <si>
    <t>CUST-0148</t>
  </si>
  <si>
    <t>CUST-0149</t>
  </si>
  <si>
    <t>CUST-0150</t>
  </si>
  <si>
    <t>CUST-0151</t>
  </si>
  <si>
    <t>CUST-0152</t>
  </si>
  <si>
    <t>CUST-0153</t>
  </si>
  <si>
    <t>CUST-0154</t>
  </si>
  <si>
    <t>CUST-0155</t>
  </si>
  <si>
    <t>CUST-0156</t>
  </si>
  <si>
    <t>CUST-0157</t>
  </si>
  <si>
    <t>CUST-0158</t>
  </si>
  <si>
    <t>CUST-0159</t>
  </si>
  <si>
    <t>CUST-0160</t>
  </si>
  <si>
    <t>CUST-0161</t>
  </si>
  <si>
    <t>CUST-0162</t>
  </si>
  <si>
    <t>CUST-0163</t>
  </si>
  <si>
    <t>CUST-0164</t>
  </si>
  <si>
    <t>CUST-0165</t>
  </si>
  <si>
    <t>CUST-0166</t>
  </si>
  <si>
    <t>CUST-0167</t>
  </si>
  <si>
    <t>CUST-0168</t>
  </si>
  <si>
    <t>CUST-0169</t>
  </si>
  <si>
    <t>CUST-0170</t>
  </si>
  <si>
    <t>CUST-0171</t>
  </si>
  <si>
    <t>CUST-0172</t>
  </si>
  <si>
    <t>CUST-0173</t>
  </si>
  <si>
    <t>CUST-0174</t>
  </si>
  <si>
    <t>CUST-0175</t>
  </si>
  <si>
    <t>CUST-0176</t>
  </si>
  <si>
    <t>CUST-0177</t>
  </si>
  <si>
    <t>CUST-0178</t>
  </si>
  <si>
    <t>CUST-0179</t>
  </si>
  <si>
    <t>CUST-0180</t>
  </si>
  <si>
    <t>CUST-0181</t>
  </si>
  <si>
    <t>CUST-0182</t>
  </si>
  <si>
    <t>CUST-0183</t>
  </si>
  <si>
    <t>CUST-0184</t>
  </si>
  <si>
    <t>CUST-0185</t>
  </si>
  <si>
    <t>CUST-0186</t>
  </si>
  <si>
    <t>CUST-0187</t>
  </si>
  <si>
    <t>CUST-0188</t>
  </si>
  <si>
    <t>CUST-0189</t>
  </si>
  <si>
    <t>CUST-0190</t>
  </si>
  <si>
    <t>CUST-0191</t>
  </si>
  <si>
    <t>CUST-0192</t>
  </si>
  <si>
    <t>CUST-0193</t>
  </si>
  <si>
    <t>CUST-0194</t>
  </si>
  <si>
    <t>CUST-0195</t>
  </si>
  <si>
    <t>CUST-0196</t>
  </si>
  <si>
    <t>CUST-0197</t>
  </si>
  <si>
    <t>CUST-0198</t>
  </si>
  <si>
    <t>CUST-0199</t>
  </si>
  <si>
    <t>CUST-0200</t>
  </si>
  <si>
    <t>CUST-0201</t>
  </si>
  <si>
    <t>CUST-0202</t>
  </si>
  <si>
    <t>CUST-0203</t>
  </si>
  <si>
    <t>CUST-0204</t>
  </si>
  <si>
    <t>CUST-0205</t>
  </si>
  <si>
    <t>CUST-0206</t>
  </si>
  <si>
    <t>CUST-0207</t>
  </si>
  <si>
    <t>CUST-0208</t>
  </si>
  <si>
    <t>CUST-0209</t>
  </si>
  <si>
    <t>CUST-0210</t>
  </si>
  <si>
    <t>CUST-0211</t>
  </si>
  <si>
    <t>CUST-0212</t>
  </si>
  <si>
    <t>CUST-0213</t>
  </si>
  <si>
    <t>CUST-0214</t>
  </si>
  <si>
    <t>CUST-0215</t>
  </si>
  <si>
    <t>CUST-0216</t>
  </si>
  <si>
    <t>CUST-0217</t>
  </si>
  <si>
    <t>CUST-0218</t>
  </si>
  <si>
    <t>CUST-0219</t>
  </si>
  <si>
    <t>CUST-0220</t>
  </si>
  <si>
    <t>CUST-0221</t>
  </si>
  <si>
    <t>CUST-0222</t>
  </si>
  <si>
    <t>CUST-0223</t>
  </si>
  <si>
    <t>CUST-0224</t>
  </si>
  <si>
    <t>CUST-0225</t>
  </si>
  <si>
    <t>CUST-0226</t>
  </si>
  <si>
    <t>CUST-0227</t>
  </si>
  <si>
    <t>CUST-0228</t>
  </si>
  <si>
    <t>CUST-0229</t>
  </si>
  <si>
    <t>CUST-0230</t>
  </si>
  <si>
    <t>CUST-0231</t>
  </si>
  <si>
    <t>CUST-0232</t>
  </si>
  <si>
    <t>CUST-0233</t>
  </si>
  <si>
    <t>CUST-0234</t>
  </si>
  <si>
    <t>CUST-0235</t>
  </si>
  <si>
    <t>CUST-0236</t>
  </si>
  <si>
    <t>CUST-0237</t>
  </si>
  <si>
    <t>CUST-0238</t>
  </si>
  <si>
    <t>CUST-0239</t>
  </si>
  <si>
    <t>CUST-0240</t>
  </si>
  <si>
    <t>CUST-0241</t>
  </si>
  <si>
    <t>CUST-0242</t>
  </si>
  <si>
    <t>CUST-0243</t>
  </si>
  <si>
    <t>CUST-0244</t>
  </si>
  <si>
    <t>CUST-0245</t>
  </si>
  <si>
    <t>CUST-0246</t>
  </si>
  <si>
    <t>CUST-0247</t>
  </si>
  <si>
    <t>CUST-0248</t>
  </si>
  <si>
    <t>CUST-0249</t>
  </si>
  <si>
    <t>CUST-0250</t>
  </si>
  <si>
    <t>CUST-0251</t>
  </si>
  <si>
    <t>CUST-0252</t>
  </si>
  <si>
    <t>CUST-0253</t>
  </si>
  <si>
    <t>CUST-0254</t>
  </si>
  <si>
    <t>CUST-0255</t>
  </si>
  <si>
    <t>CUST-0256</t>
  </si>
  <si>
    <t>CUST-0257</t>
  </si>
  <si>
    <t>CUST-0258</t>
  </si>
  <si>
    <t>CUST-0259</t>
  </si>
  <si>
    <t>CUST-0260</t>
  </si>
  <si>
    <t>CUST-0261</t>
  </si>
  <si>
    <t>CUST-0262</t>
  </si>
  <si>
    <t>CUST-0263</t>
  </si>
  <si>
    <t>CUST-0264</t>
  </si>
  <si>
    <t>CUST-0265</t>
  </si>
  <si>
    <t>CUST-0266</t>
  </si>
  <si>
    <t>CUST-0267</t>
  </si>
  <si>
    <t>CUST-0268</t>
  </si>
  <si>
    <t>CUST-0269</t>
  </si>
  <si>
    <t>CUST-0270</t>
  </si>
  <si>
    <t>CUST-0271</t>
  </si>
  <si>
    <t>CUST-0272</t>
  </si>
  <si>
    <t>CUST-0273</t>
  </si>
  <si>
    <t>CUST-0274</t>
  </si>
  <si>
    <t>CUST-0275</t>
  </si>
  <si>
    <t>CUST-0276</t>
  </si>
  <si>
    <t>CUST-0277</t>
  </si>
  <si>
    <t>CUST-0278</t>
  </si>
  <si>
    <t>CUST-0279</t>
  </si>
  <si>
    <t>CUST-0280</t>
  </si>
  <si>
    <t>CUST-0281</t>
  </si>
  <si>
    <t>CUST-0282</t>
  </si>
  <si>
    <t>CUST-0283</t>
  </si>
  <si>
    <t>CUST-0284</t>
  </si>
  <si>
    <t>CUST-0285</t>
  </si>
  <si>
    <t>CUST-0286</t>
  </si>
  <si>
    <t>CUST-0287</t>
  </si>
  <si>
    <t>CUST-0288</t>
  </si>
  <si>
    <t>CUST-0289</t>
  </si>
  <si>
    <t>CUST-0290</t>
  </si>
  <si>
    <t>CUST-0291</t>
  </si>
  <si>
    <t>CUST-0292</t>
  </si>
  <si>
    <t>CUST-0293</t>
  </si>
  <si>
    <t>CUST-0294</t>
  </si>
  <si>
    <t>CUST-0295</t>
  </si>
  <si>
    <t>CUST-0296</t>
  </si>
  <si>
    <t>CUST-0297</t>
  </si>
  <si>
    <t>CUST-0298</t>
  </si>
  <si>
    <t>CUST-0299</t>
  </si>
  <si>
    <t>CUST-0300</t>
  </si>
  <si>
    <t>CUST-0301</t>
  </si>
  <si>
    <t>CUST-0302</t>
  </si>
  <si>
    <t>CUST-0303</t>
  </si>
  <si>
    <t>CUST-0304</t>
  </si>
  <si>
    <t>CUST-0305</t>
  </si>
  <si>
    <t>CUST-0306</t>
  </si>
  <si>
    <t>CUST-0307</t>
  </si>
  <si>
    <t>CUST-0308</t>
  </si>
  <si>
    <t>CUST-0309</t>
  </si>
  <si>
    <t>CUST-0310</t>
  </si>
  <si>
    <t>CUST-0311</t>
  </si>
  <si>
    <t>CUST-0312</t>
  </si>
  <si>
    <t>CUST-0313</t>
  </si>
  <si>
    <t>CUST-0314</t>
  </si>
  <si>
    <t>CUST-0315</t>
  </si>
  <si>
    <t>CUST-0316</t>
  </si>
  <si>
    <t>CUST-0317</t>
  </si>
  <si>
    <t>CUST-0318</t>
  </si>
  <si>
    <t>CUST-0319</t>
  </si>
  <si>
    <t>CUST-0320</t>
  </si>
  <si>
    <t>CUST-0321</t>
  </si>
  <si>
    <t>CUST-0322</t>
  </si>
  <si>
    <t>CUST-0323</t>
  </si>
  <si>
    <t>CUST-0324</t>
  </si>
  <si>
    <t>CUST-0325</t>
  </si>
  <si>
    <t>CUST-0326</t>
  </si>
  <si>
    <t>CUST-0327</t>
  </si>
  <si>
    <t>CUST-0328</t>
  </si>
  <si>
    <t>CUST-0329</t>
  </si>
  <si>
    <t>CUST-0330</t>
  </si>
  <si>
    <t>CUST-0331</t>
  </si>
  <si>
    <t>CUST-0332</t>
  </si>
  <si>
    <t>CUST-0333</t>
  </si>
  <si>
    <t>CUST-0334</t>
  </si>
  <si>
    <t>CUST-0335</t>
  </si>
  <si>
    <t>CUST-0336</t>
  </si>
  <si>
    <t>CUST-0337</t>
  </si>
  <si>
    <t>CUST-0338</t>
  </si>
  <si>
    <t>CUST-0339</t>
  </si>
  <si>
    <t>CUST-0340</t>
  </si>
  <si>
    <t>CUST-0341</t>
  </si>
  <si>
    <t>CUST-0342</t>
  </si>
  <si>
    <t>CUST-0343</t>
  </si>
  <si>
    <t>CUST-0344</t>
  </si>
  <si>
    <t>CUST-0345</t>
  </si>
  <si>
    <t>CUST-0346</t>
  </si>
  <si>
    <t>CUST-0347</t>
  </si>
  <si>
    <t>CUST-0348</t>
  </si>
  <si>
    <t>CUST-0349</t>
  </si>
  <si>
    <t>CUST-0350</t>
  </si>
  <si>
    <t>CUST-0351</t>
  </si>
  <si>
    <t>CUST-0352</t>
  </si>
  <si>
    <t>CUST-0353</t>
  </si>
  <si>
    <t>CUST-0354</t>
  </si>
  <si>
    <t>CUST-0355</t>
  </si>
  <si>
    <t>CUST-0356</t>
  </si>
  <si>
    <t>CUST-0357</t>
  </si>
  <si>
    <t>CUST-0358</t>
  </si>
  <si>
    <t>CUST-0359</t>
  </si>
  <si>
    <t>CUST-0360</t>
  </si>
  <si>
    <t>CUST-0361</t>
  </si>
  <si>
    <t>CUST-0362</t>
  </si>
  <si>
    <t>CUST-0363</t>
  </si>
  <si>
    <t>CUST-0364</t>
  </si>
  <si>
    <t>CUST-0365</t>
  </si>
  <si>
    <t>CUST-0366</t>
  </si>
  <si>
    <t>CUST-0367</t>
  </si>
  <si>
    <t>CUST-0368</t>
  </si>
  <si>
    <t>CUST-0369</t>
  </si>
  <si>
    <t>CUST-0370</t>
  </si>
  <si>
    <t>CUST-0371</t>
  </si>
  <si>
    <t>CUST-0372</t>
  </si>
  <si>
    <t>CUST-0373</t>
  </si>
  <si>
    <t>CUST-0374</t>
  </si>
  <si>
    <t>CUST-0375</t>
  </si>
  <si>
    <t>CUST-0376</t>
  </si>
  <si>
    <t>CUST-0377</t>
  </si>
  <si>
    <t>CUST-0378</t>
  </si>
  <si>
    <t>CUST-0379</t>
  </si>
  <si>
    <t>CUST-0380</t>
  </si>
  <si>
    <t>CUST-0381</t>
  </si>
  <si>
    <t>CUST-0382</t>
  </si>
  <si>
    <t>CUST-0383</t>
  </si>
  <si>
    <t>CUST-0384</t>
  </si>
  <si>
    <t>CUST-0385</t>
  </si>
  <si>
    <t>CUST-0386</t>
  </si>
  <si>
    <t>CUST-0387</t>
  </si>
  <si>
    <t>CUST-0388</t>
  </si>
  <si>
    <t>CUST-0389</t>
  </si>
  <si>
    <t>CUST-0390</t>
  </si>
  <si>
    <t>CUST-0391</t>
  </si>
  <si>
    <t>CUST-0392</t>
  </si>
  <si>
    <t>CUST-0393</t>
  </si>
  <si>
    <t>CUST-0394</t>
  </si>
  <si>
    <t>CUST-0395</t>
  </si>
  <si>
    <t>CUST-0396</t>
  </si>
  <si>
    <t>CUST-0397</t>
  </si>
  <si>
    <t>CUST-0398</t>
  </si>
  <si>
    <t>CUST-0399</t>
  </si>
  <si>
    <t>CUST-0400</t>
  </si>
  <si>
    <t>CUST-0401</t>
  </si>
  <si>
    <t>CUST-0402</t>
  </si>
  <si>
    <t>CUST-0403</t>
  </si>
  <si>
    <t>CUST-0404</t>
  </si>
  <si>
    <t>CUST-0405</t>
  </si>
  <si>
    <t>CUST-0406</t>
  </si>
  <si>
    <t>CUST-0407</t>
  </si>
  <si>
    <t>CUST-0408</t>
  </si>
  <si>
    <t>CUST-0409</t>
  </si>
  <si>
    <t>CUST-0410</t>
  </si>
  <si>
    <t>CUST-0411</t>
  </si>
  <si>
    <t>CUST-0412</t>
  </si>
  <si>
    <t>CUST-0413</t>
  </si>
  <si>
    <t>CUST-0414</t>
  </si>
  <si>
    <t>CUST-0415</t>
  </si>
  <si>
    <t>CUST-0416</t>
  </si>
  <si>
    <t>CUST-0417</t>
  </si>
  <si>
    <t>CUST-0418</t>
  </si>
  <si>
    <t>CUST-0419</t>
  </si>
  <si>
    <t>CUST-0420</t>
  </si>
  <si>
    <t>CUST-0421</t>
  </si>
  <si>
    <t>CUST-0422</t>
  </si>
  <si>
    <t>CUST-0423</t>
  </si>
  <si>
    <t>CUST-0424</t>
  </si>
  <si>
    <t>CUST-0425</t>
  </si>
  <si>
    <t>CUST-0426</t>
  </si>
  <si>
    <t>CUST-0427</t>
  </si>
  <si>
    <t>CUST-0428</t>
  </si>
  <si>
    <t>CUST-0429</t>
  </si>
  <si>
    <t>CUST-0430</t>
  </si>
  <si>
    <t>CUST-0431</t>
  </si>
  <si>
    <t>CUST-0432</t>
  </si>
  <si>
    <t>CUST-0433</t>
  </si>
  <si>
    <t>CUST-0434</t>
  </si>
  <si>
    <t>CUST-0435</t>
  </si>
  <si>
    <t>CUST-0436</t>
  </si>
  <si>
    <t>CUST-0437</t>
  </si>
  <si>
    <t>CUST-0438</t>
  </si>
  <si>
    <t>CUST-0439</t>
  </si>
  <si>
    <t>CUST-0440</t>
  </si>
  <si>
    <t>CUST-0441</t>
  </si>
  <si>
    <t>CUST-0442</t>
  </si>
  <si>
    <t>CUST-0443</t>
  </si>
  <si>
    <t>CUST-0444</t>
  </si>
  <si>
    <t>CUST-0445</t>
  </si>
  <si>
    <t>CUST-0446</t>
  </si>
  <si>
    <t>CUST-0447</t>
  </si>
  <si>
    <t>CUST-0448</t>
  </si>
  <si>
    <t>CUST-0449</t>
  </si>
  <si>
    <t>CUST-0450</t>
  </si>
  <si>
    <t>CUST-0451</t>
  </si>
  <si>
    <t>CUST-0452</t>
  </si>
  <si>
    <t>CUST-0453</t>
  </si>
  <si>
    <t>CUST-0454</t>
  </si>
  <si>
    <t>CUST-0455</t>
  </si>
  <si>
    <t>CUST-0456</t>
  </si>
  <si>
    <t>CUST-0457</t>
  </si>
  <si>
    <t>CUST-0458</t>
  </si>
  <si>
    <t>CUST-0459</t>
  </si>
  <si>
    <t>CUST-0460</t>
  </si>
  <si>
    <t>CUST-0461</t>
  </si>
  <si>
    <t>CUST-0462</t>
  </si>
  <si>
    <t>CUST-0463</t>
  </si>
  <si>
    <t>CUST-0464</t>
  </si>
  <si>
    <t>CUST-0465</t>
  </si>
  <si>
    <t>CUST-0466</t>
  </si>
  <si>
    <t>CUST-0467</t>
  </si>
  <si>
    <t>CUST-0468</t>
  </si>
  <si>
    <t>CUST-0469</t>
  </si>
  <si>
    <t>CUST-0470</t>
  </si>
  <si>
    <t>CUST-0471</t>
  </si>
  <si>
    <t>CUST-0472</t>
  </si>
  <si>
    <t>CUST-0473</t>
  </si>
  <si>
    <t>CUST-0474</t>
  </si>
  <si>
    <t>CUST-0475</t>
  </si>
  <si>
    <t>CUST-0476</t>
  </si>
  <si>
    <t>CUST-0477</t>
  </si>
  <si>
    <t>CUST-0478</t>
  </si>
  <si>
    <t>CUST-0479</t>
  </si>
  <si>
    <t>CUST-0480</t>
  </si>
  <si>
    <t>CUST-0481</t>
  </si>
  <si>
    <t>CUST-0482</t>
  </si>
  <si>
    <t>CUST-0483</t>
  </si>
  <si>
    <t>CUST-0484</t>
  </si>
  <si>
    <t>CUST-0485</t>
  </si>
  <si>
    <t>CUST-0486</t>
  </si>
  <si>
    <t>CUST-0487</t>
  </si>
  <si>
    <t>CUST-0488</t>
  </si>
  <si>
    <t>CUST-0489</t>
  </si>
  <si>
    <t>CUST-0490</t>
  </si>
  <si>
    <t>CUST-0491</t>
  </si>
  <si>
    <t>CUST-0492</t>
  </si>
  <si>
    <t>CUST-0493</t>
  </si>
  <si>
    <t>CUST-0494</t>
  </si>
  <si>
    <t>CUST-0495</t>
  </si>
  <si>
    <t>CUST-0496</t>
  </si>
  <si>
    <t>CUST-0497</t>
  </si>
  <si>
    <t>CUST-0498</t>
  </si>
  <si>
    <t>CUST-0499</t>
  </si>
  <si>
    <t>CUST-0500</t>
  </si>
  <si>
    <t>CUST-0501</t>
  </si>
  <si>
    <t>CUST-0502</t>
  </si>
  <si>
    <t>CUST-0503</t>
  </si>
  <si>
    <t>CUST-0504</t>
  </si>
  <si>
    <t>CUST-0505</t>
  </si>
  <si>
    <t>CUST-0506</t>
  </si>
  <si>
    <t>CUST-0507</t>
  </si>
  <si>
    <t>CUST-0508</t>
  </si>
  <si>
    <t>CUST-0509</t>
  </si>
  <si>
    <t>CUST-0510</t>
  </si>
  <si>
    <t>CUST-0511</t>
  </si>
  <si>
    <t>CUST-0512</t>
  </si>
  <si>
    <t>CUST-0513</t>
  </si>
  <si>
    <t>CUST-0514</t>
  </si>
  <si>
    <t>CUST-0515</t>
  </si>
  <si>
    <t>CUST-0516</t>
  </si>
  <si>
    <t>CUST-0517</t>
  </si>
  <si>
    <t>CUST-0518</t>
  </si>
  <si>
    <t>CUST-0519</t>
  </si>
  <si>
    <t>CUST-0520</t>
  </si>
  <si>
    <t>CUST-0521</t>
  </si>
  <si>
    <t>CUST-0522</t>
  </si>
  <si>
    <t>CUST-0523</t>
  </si>
  <si>
    <t>CUST-0524</t>
  </si>
  <si>
    <t>CUST-0525</t>
  </si>
  <si>
    <t>CUST-0526</t>
  </si>
  <si>
    <t>CUST-0527</t>
  </si>
  <si>
    <t>CUST-0528</t>
  </si>
  <si>
    <t>CUST-0529</t>
  </si>
  <si>
    <t>CUST-0530</t>
  </si>
  <si>
    <t>CUST-0531</t>
  </si>
  <si>
    <t>CUST-0532</t>
  </si>
  <si>
    <t>CUST-0533</t>
  </si>
  <si>
    <t>CUST-0534</t>
  </si>
  <si>
    <t>CUST-0535</t>
  </si>
  <si>
    <t>CUST-0536</t>
  </si>
  <si>
    <t>CUST-0537</t>
  </si>
  <si>
    <t>CUST-0538</t>
  </si>
  <si>
    <t>CUST-0539</t>
  </si>
  <si>
    <t>CUST-0540</t>
  </si>
  <si>
    <t>CUST-0541</t>
  </si>
  <si>
    <t>CUST-0542</t>
  </si>
  <si>
    <t>CUST-0543</t>
  </si>
  <si>
    <t>CUST-0544</t>
  </si>
  <si>
    <t>CUST-0545</t>
  </si>
  <si>
    <t>CUST-0546</t>
  </si>
  <si>
    <t>CUST-0547</t>
  </si>
  <si>
    <t>CUST-0548</t>
  </si>
  <si>
    <t>CUST-0549</t>
  </si>
  <si>
    <t>CUST-0550</t>
  </si>
  <si>
    <t>CUST-0551</t>
  </si>
  <si>
    <t>CUST-0552</t>
  </si>
  <si>
    <t>CUST-0553</t>
  </si>
  <si>
    <t>CUST-0554</t>
  </si>
  <si>
    <t>CUST-0555</t>
  </si>
  <si>
    <t>CUST-0556</t>
  </si>
  <si>
    <t>CUST-0557</t>
  </si>
  <si>
    <t>CUST-0558</t>
  </si>
  <si>
    <t>CUST-0559</t>
  </si>
  <si>
    <t>CUST-0560</t>
  </si>
  <si>
    <t>CUST-0561</t>
  </si>
  <si>
    <t>CUST-0562</t>
  </si>
  <si>
    <t>CUST-0563</t>
  </si>
  <si>
    <t>CUST-0564</t>
  </si>
  <si>
    <t>CUST-0565</t>
  </si>
  <si>
    <t>CUST-0566</t>
  </si>
  <si>
    <t>CUST-0567</t>
  </si>
  <si>
    <t>CUST-0568</t>
  </si>
  <si>
    <t>CUST-0569</t>
  </si>
  <si>
    <t>CUST-0570</t>
  </si>
  <si>
    <t>CUST-0571</t>
  </si>
  <si>
    <t>CUST-0572</t>
  </si>
  <si>
    <t>CUST-0573</t>
  </si>
  <si>
    <t>CUST-0574</t>
  </si>
  <si>
    <t>CUST-0575</t>
  </si>
  <si>
    <t>CUST-0576</t>
  </si>
  <si>
    <t>CUST-0577</t>
  </si>
  <si>
    <t>CUST-0578</t>
  </si>
  <si>
    <t>CUST-0579</t>
  </si>
  <si>
    <t>CUST-0580</t>
  </si>
  <si>
    <t>CUST-0581</t>
  </si>
  <si>
    <t>CUST-0582</t>
  </si>
  <si>
    <t>CUST-0583</t>
  </si>
  <si>
    <t>CUST-0584</t>
  </si>
  <si>
    <t>CUST-0585</t>
  </si>
  <si>
    <t>CUST-0586</t>
  </si>
  <si>
    <t>CUST-0587</t>
  </si>
  <si>
    <t>CUST-0588</t>
  </si>
  <si>
    <t>CUST-0589</t>
  </si>
  <si>
    <t>CUST-0590</t>
  </si>
  <si>
    <t>CUST-0591</t>
  </si>
  <si>
    <t>CUST-0592</t>
  </si>
  <si>
    <t>CUST-0593</t>
  </si>
  <si>
    <t>CUST-0594</t>
  </si>
  <si>
    <t>CUST-0595</t>
  </si>
  <si>
    <t>CUST-0596</t>
  </si>
  <si>
    <t>CUST-0597</t>
  </si>
  <si>
    <t>CUST-0598</t>
  </si>
  <si>
    <t>CUST-0599</t>
  </si>
  <si>
    <t>CUST-0600</t>
  </si>
  <si>
    <t>month</t>
  </si>
  <si>
    <t>total_active_customers</t>
  </si>
  <si>
    <t>new_customers</t>
  </si>
  <si>
    <t>churned_customers</t>
  </si>
  <si>
    <t>monthly_churn_rate_pct</t>
  </si>
  <si>
    <t>total_mrr</t>
  </si>
  <si>
    <t>avg_revenue_per_customer</t>
  </si>
  <si>
    <t>customer_acquisition_cost</t>
  </si>
  <si>
    <t>Total_customers</t>
  </si>
  <si>
    <t>Validate overall churn</t>
  </si>
  <si>
    <t>match SQL results</t>
  </si>
  <si>
    <t>Row Labels</t>
  </si>
  <si>
    <t>Grand Total</t>
  </si>
  <si>
    <t>Count of customer_id</t>
  </si>
  <si>
    <t>Churn_Flag</t>
  </si>
  <si>
    <t>Sum of Churn_Flag</t>
  </si>
  <si>
    <t>Churn_rate</t>
  </si>
  <si>
    <t>match with SQL results</t>
  </si>
  <si>
    <t>Column Labels</t>
  </si>
  <si>
    <t>Average of Churn_Flag</t>
  </si>
  <si>
    <t>(All)</t>
  </si>
  <si>
    <t>top 3 churn reasons- match SQL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</si>
</sst>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2" applyNumberFormat="1" applyFont="1"/>
    <xf numFmtId="10" fontId="2" fillId="0" borderId="0" xfId="2" applyNumberFormat="1" applyFont="1"/>
    <xf numFmtId="10" fontId="0" fillId="0" borderId="0" xfId="0" applyNumberFormat="1"/>
    <xf numFmtId="0" fontId="0" fillId="2" borderId="0" xfId="0" applyFill="1" applyAlignment="1">
      <alignment horizontal="left"/>
    </xf>
    <xf numFmtId="0" fontId="0" fillId="2" borderId="0" xfId="0" applyNumberFormat="1" applyFill="1"/>
    <xf numFmtId="44" fontId="0" fillId="0" borderId="0" xfId="1" applyFont="1"/>
  </cellXfs>
  <cellStyles count="3">
    <cellStyle name="Currency" xfId="1" builtinId="4"/>
    <cellStyle name="Normal" xfId="0" builtinId="0"/>
    <cellStyle name="Per cent" xfId="2" builtinId="5"/>
  </cellStyles>
  <dxfs count="23">
    <dxf>
      <fill>
        <patternFill patternType="solid">
          <bgColor rgb="FFFFFF00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Revenue'!$E$1</c:f>
              <c:strCache>
                <c:ptCount val="1"/>
                <c:pt idx="0">
                  <c:v>monthly_churn_rate_pct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'Monthly Revenue'!$A$2:$A$49</c:f>
              <c:numCache>
                <c:formatCode>m/d/yyyy</c:formatCode>
                <c:ptCount val="48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</c:numCache>
            </c:numRef>
          </c:cat>
          <c:val>
            <c:numRef>
              <c:f>'Monthly Revenue'!$E$2:$E$49</c:f>
              <c:numCache>
                <c:formatCode>General</c:formatCode>
                <c:ptCount val="48"/>
                <c:pt idx="0">
                  <c:v>0</c:v>
                </c:pt>
                <c:pt idx="1">
                  <c:v>20</c:v>
                </c:pt>
                <c:pt idx="2">
                  <c:v>0</c:v>
                </c:pt>
                <c:pt idx="3">
                  <c:v>10.71</c:v>
                </c:pt>
                <c:pt idx="4">
                  <c:v>2.86</c:v>
                </c:pt>
                <c:pt idx="5">
                  <c:v>4.3499999999999996</c:v>
                </c:pt>
                <c:pt idx="6">
                  <c:v>11.32</c:v>
                </c:pt>
                <c:pt idx="7">
                  <c:v>10.53</c:v>
                </c:pt>
                <c:pt idx="8">
                  <c:v>7.46</c:v>
                </c:pt>
                <c:pt idx="9">
                  <c:v>6.58</c:v>
                </c:pt>
                <c:pt idx="10">
                  <c:v>5.75</c:v>
                </c:pt>
                <c:pt idx="11">
                  <c:v>2.11</c:v>
                </c:pt>
                <c:pt idx="12">
                  <c:v>3.74</c:v>
                </c:pt>
                <c:pt idx="13">
                  <c:v>2.61</c:v>
                </c:pt>
                <c:pt idx="14">
                  <c:v>1.63</c:v>
                </c:pt>
                <c:pt idx="15">
                  <c:v>6.4</c:v>
                </c:pt>
                <c:pt idx="16">
                  <c:v>3.01</c:v>
                </c:pt>
                <c:pt idx="17">
                  <c:v>7.14</c:v>
                </c:pt>
                <c:pt idx="18">
                  <c:v>4.83</c:v>
                </c:pt>
                <c:pt idx="19">
                  <c:v>4.46</c:v>
                </c:pt>
                <c:pt idx="20">
                  <c:v>4.38</c:v>
                </c:pt>
                <c:pt idx="21">
                  <c:v>2.94</c:v>
                </c:pt>
                <c:pt idx="22">
                  <c:v>4.42</c:v>
                </c:pt>
                <c:pt idx="23">
                  <c:v>3.83</c:v>
                </c:pt>
                <c:pt idx="24">
                  <c:v>3.76</c:v>
                </c:pt>
                <c:pt idx="25">
                  <c:v>4.26</c:v>
                </c:pt>
                <c:pt idx="26">
                  <c:v>2.12</c:v>
                </c:pt>
                <c:pt idx="27">
                  <c:v>3.94</c:v>
                </c:pt>
                <c:pt idx="28">
                  <c:v>3.88</c:v>
                </c:pt>
                <c:pt idx="29">
                  <c:v>4.2300000000000004</c:v>
                </c:pt>
                <c:pt idx="30">
                  <c:v>3.7</c:v>
                </c:pt>
                <c:pt idx="31">
                  <c:v>3.14</c:v>
                </c:pt>
                <c:pt idx="32">
                  <c:v>3.1</c:v>
                </c:pt>
                <c:pt idx="33">
                  <c:v>3</c:v>
                </c:pt>
                <c:pt idx="34">
                  <c:v>3.78</c:v>
                </c:pt>
                <c:pt idx="35">
                  <c:v>3.75</c:v>
                </c:pt>
                <c:pt idx="36">
                  <c:v>3.64</c:v>
                </c:pt>
                <c:pt idx="37">
                  <c:v>3.19</c:v>
                </c:pt>
                <c:pt idx="38">
                  <c:v>2.72</c:v>
                </c:pt>
                <c:pt idx="39">
                  <c:v>6.3</c:v>
                </c:pt>
                <c:pt idx="40">
                  <c:v>5.68</c:v>
                </c:pt>
                <c:pt idx="41">
                  <c:v>4.21</c:v>
                </c:pt>
                <c:pt idx="42">
                  <c:v>3.4</c:v>
                </c:pt>
                <c:pt idx="43">
                  <c:v>2.64</c:v>
                </c:pt>
                <c:pt idx="44">
                  <c:v>3.4</c:v>
                </c:pt>
                <c:pt idx="45">
                  <c:v>3.35</c:v>
                </c:pt>
                <c:pt idx="46">
                  <c:v>3.24</c:v>
                </c:pt>
                <c:pt idx="47">
                  <c:v>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1C-49FA-A763-4411A3244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6047359"/>
        <c:axId val="870035119"/>
      </c:lineChart>
      <c:dateAx>
        <c:axId val="86604735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870035119"/>
        <c:crosses val="autoZero"/>
        <c:auto val="1"/>
        <c:lblOffset val="100"/>
        <c:baseTimeUnit val="months"/>
      </c:dateAx>
      <c:valAx>
        <c:axId val="87003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86604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433387</xdr:colOff>
      <xdr:row>2</xdr:row>
      <xdr:rowOff>9525</xdr:rowOff>
    </xdr:from>
    <xdr:to>
      <xdr:col>16</xdr:col>
      <xdr:colOff>204787</xdr:colOff>
      <xdr:row>18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FBEBBD-DAF2-CF78-2F43-7E449EEAA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an Huy" refreshedDate="46258.442465509259" createdVersion="8" refreshedVersion="8" minRefreshableVersion="3" recordCount="600" xr:uid="{06C091F2-DA47-42A2-8DDD-F4ECC2875427}">
  <cacheSource type="worksheet">
    <worksheetSource name="Subscriptions"/>
  </cacheSource>
  <cacheFields count="18">
    <cacheField name="customer_id" numFmtId="0">
      <sharedItems count="600">
        <s v="CUST-0001"/>
        <s v="CUST-0002"/>
        <s v="CUST-0003"/>
        <s v="CUST-0004"/>
        <s v="CUST-0005"/>
        <s v="CUST-0006"/>
        <s v="CUST-0007"/>
        <s v="CUST-0008"/>
        <s v="CUST-0009"/>
        <s v="CUST-0010"/>
        <s v="CUST-0011"/>
        <s v="CUST-0012"/>
        <s v="CUST-0013"/>
        <s v="CUST-0014"/>
        <s v="CUST-0015"/>
        <s v="CUST-0016"/>
        <s v="CUST-0017"/>
        <s v="CUST-0018"/>
        <s v="CUST-0019"/>
        <s v="CUST-0020"/>
        <s v="CUST-0021"/>
        <s v="CUST-0022"/>
        <s v="CUST-0023"/>
        <s v="CUST-0024"/>
        <s v="CUST-0025"/>
        <s v="CUST-0026"/>
        <s v="CUST-0027"/>
        <s v="CUST-0028"/>
        <s v="CUST-0029"/>
        <s v="CUST-0030"/>
        <s v="CUST-0031"/>
        <s v="CUST-0032"/>
        <s v="CUST-0033"/>
        <s v="CUST-0034"/>
        <s v="CUST-0035"/>
        <s v="CUST-0036"/>
        <s v="CUST-0037"/>
        <s v="CUST-0038"/>
        <s v="CUST-0039"/>
        <s v="CUST-0040"/>
        <s v="CUST-0041"/>
        <s v="CUST-0042"/>
        <s v="CUST-0043"/>
        <s v="CUST-0044"/>
        <s v="CUST-0045"/>
        <s v="CUST-0046"/>
        <s v="CUST-0047"/>
        <s v="CUST-0048"/>
        <s v="CUST-0049"/>
        <s v="CUST-0050"/>
        <s v="CUST-0051"/>
        <s v="CUST-0052"/>
        <s v="CUST-0053"/>
        <s v="CUST-0054"/>
        <s v="CUST-0055"/>
        <s v="CUST-0056"/>
        <s v="CUST-0057"/>
        <s v="CUST-0058"/>
        <s v="CUST-0059"/>
        <s v="CUST-0060"/>
        <s v="CUST-0061"/>
        <s v="CUST-0062"/>
        <s v="CUST-0063"/>
        <s v="CUST-0064"/>
        <s v="CUST-0065"/>
        <s v="CUST-0066"/>
        <s v="CUST-0067"/>
        <s v="CUST-0068"/>
        <s v="CUST-0069"/>
        <s v="CUST-0070"/>
        <s v="CUST-0071"/>
        <s v="CUST-0072"/>
        <s v="CUST-0073"/>
        <s v="CUST-0074"/>
        <s v="CUST-0075"/>
        <s v="CUST-0076"/>
        <s v="CUST-0077"/>
        <s v="CUST-0078"/>
        <s v="CUST-0079"/>
        <s v="CUST-0080"/>
        <s v="CUST-0081"/>
        <s v="CUST-0082"/>
        <s v="CUST-0083"/>
        <s v="CUST-0084"/>
        <s v="CUST-0085"/>
        <s v="CUST-0086"/>
        <s v="CUST-0087"/>
        <s v="CUST-0088"/>
        <s v="CUST-0089"/>
        <s v="CUST-0090"/>
        <s v="CUST-0091"/>
        <s v="CUST-0092"/>
        <s v="CUST-0093"/>
        <s v="CUST-0094"/>
        <s v="CUST-0095"/>
        <s v="CUST-0096"/>
        <s v="CUST-0097"/>
        <s v="CUST-0098"/>
        <s v="CUST-0099"/>
        <s v="CUST-0100"/>
        <s v="CUST-0101"/>
        <s v="CUST-0102"/>
        <s v="CUST-0103"/>
        <s v="CUST-0104"/>
        <s v="CUST-0105"/>
        <s v="CUST-0106"/>
        <s v="CUST-0107"/>
        <s v="CUST-0108"/>
        <s v="CUST-0109"/>
        <s v="CUST-0110"/>
        <s v="CUST-0111"/>
        <s v="CUST-0112"/>
        <s v="CUST-0113"/>
        <s v="CUST-0114"/>
        <s v="CUST-0115"/>
        <s v="CUST-0116"/>
        <s v="CUST-0117"/>
        <s v="CUST-0118"/>
        <s v="CUST-0119"/>
        <s v="CUST-0120"/>
        <s v="CUST-0121"/>
        <s v="CUST-0122"/>
        <s v="CUST-0123"/>
        <s v="CUST-0124"/>
        <s v="CUST-0125"/>
        <s v="CUST-0126"/>
        <s v="CUST-0127"/>
        <s v="CUST-0128"/>
        <s v="CUST-0129"/>
        <s v="CUST-0130"/>
        <s v="CUST-0131"/>
        <s v="CUST-0132"/>
        <s v="CUST-0133"/>
        <s v="CUST-0134"/>
        <s v="CUST-0135"/>
        <s v="CUST-0136"/>
        <s v="CUST-0137"/>
        <s v="CUST-0138"/>
        <s v="CUST-0139"/>
        <s v="CUST-0140"/>
        <s v="CUST-0141"/>
        <s v="CUST-0142"/>
        <s v="CUST-0143"/>
        <s v="CUST-0144"/>
        <s v="CUST-0145"/>
        <s v="CUST-0146"/>
        <s v="CUST-0147"/>
        <s v="CUST-0148"/>
        <s v="CUST-0149"/>
        <s v="CUST-0150"/>
        <s v="CUST-0151"/>
        <s v="CUST-0152"/>
        <s v="CUST-0153"/>
        <s v="CUST-0154"/>
        <s v="CUST-0155"/>
        <s v="CUST-0156"/>
        <s v="CUST-0157"/>
        <s v="CUST-0158"/>
        <s v="CUST-0159"/>
        <s v="CUST-0160"/>
        <s v="CUST-0161"/>
        <s v="CUST-0162"/>
        <s v="CUST-0163"/>
        <s v="CUST-0164"/>
        <s v="CUST-0165"/>
        <s v="CUST-0166"/>
        <s v="CUST-0167"/>
        <s v="CUST-0168"/>
        <s v="CUST-0169"/>
        <s v="CUST-0170"/>
        <s v="CUST-0171"/>
        <s v="CUST-0172"/>
        <s v="CUST-0173"/>
        <s v="CUST-0174"/>
        <s v="CUST-0175"/>
        <s v="CUST-0176"/>
        <s v="CUST-0177"/>
        <s v="CUST-0178"/>
        <s v="CUST-0179"/>
        <s v="CUST-0180"/>
        <s v="CUST-0181"/>
        <s v="CUST-0182"/>
        <s v="CUST-0183"/>
        <s v="CUST-0184"/>
        <s v="CUST-0185"/>
        <s v="CUST-0186"/>
        <s v="CUST-0187"/>
        <s v="CUST-0188"/>
        <s v="CUST-0189"/>
        <s v="CUST-0190"/>
        <s v="CUST-0191"/>
        <s v="CUST-0192"/>
        <s v="CUST-0193"/>
        <s v="CUST-0194"/>
        <s v="CUST-0195"/>
        <s v="CUST-0196"/>
        <s v="CUST-0197"/>
        <s v="CUST-0198"/>
        <s v="CUST-0199"/>
        <s v="CUST-0200"/>
        <s v="CUST-0201"/>
        <s v="CUST-0202"/>
        <s v="CUST-0203"/>
        <s v="CUST-0204"/>
        <s v="CUST-0205"/>
        <s v="CUST-0206"/>
        <s v="CUST-0207"/>
        <s v="CUST-0208"/>
        <s v="CUST-0209"/>
        <s v="CUST-0210"/>
        <s v="CUST-0211"/>
        <s v="CUST-0212"/>
        <s v="CUST-0213"/>
        <s v="CUST-0214"/>
        <s v="CUST-0215"/>
        <s v="CUST-0216"/>
        <s v="CUST-0217"/>
        <s v="CUST-0218"/>
        <s v="CUST-0219"/>
        <s v="CUST-0220"/>
        <s v="CUST-0221"/>
        <s v="CUST-0222"/>
        <s v="CUST-0223"/>
        <s v="CUST-0224"/>
        <s v="CUST-0225"/>
        <s v="CUST-0226"/>
        <s v="CUST-0227"/>
        <s v="CUST-0228"/>
        <s v="CUST-0229"/>
        <s v="CUST-0230"/>
        <s v="CUST-0231"/>
        <s v="CUST-0232"/>
        <s v="CUST-0233"/>
        <s v="CUST-0234"/>
        <s v="CUST-0235"/>
        <s v="CUST-0236"/>
        <s v="CUST-0237"/>
        <s v="CUST-0238"/>
        <s v="CUST-0239"/>
        <s v="CUST-0240"/>
        <s v="CUST-0241"/>
        <s v="CUST-0242"/>
        <s v="CUST-0243"/>
        <s v="CUST-0244"/>
        <s v="CUST-0245"/>
        <s v="CUST-0246"/>
        <s v="CUST-0247"/>
        <s v="CUST-0248"/>
        <s v="CUST-0249"/>
        <s v="CUST-0250"/>
        <s v="CUST-0251"/>
        <s v="CUST-0252"/>
        <s v="CUST-0253"/>
        <s v="CUST-0254"/>
        <s v="CUST-0255"/>
        <s v="CUST-0256"/>
        <s v="CUST-0257"/>
        <s v="CUST-0258"/>
        <s v="CUST-0259"/>
        <s v="CUST-0260"/>
        <s v="CUST-0261"/>
        <s v="CUST-0262"/>
        <s v="CUST-0263"/>
        <s v="CUST-0264"/>
        <s v="CUST-0265"/>
        <s v="CUST-0266"/>
        <s v="CUST-0267"/>
        <s v="CUST-0268"/>
        <s v="CUST-0269"/>
        <s v="CUST-0270"/>
        <s v="CUST-0271"/>
        <s v="CUST-0272"/>
        <s v="CUST-0273"/>
        <s v="CUST-0274"/>
        <s v="CUST-0275"/>
        <s v="CUST-0276"/>
        <s v="CUST-0277"/>
        <s v="CUST-0278"/>
        <s v="CUST-0279"/>
        <s v="CUST-0280"/>
        <s v="CUST-0281"/>
        <s v="CUST-0282"/>
        <s v="CUST-0283"/>
        <s v="CUST-0284"/>
        <s v="CUST-0285"/>
        <s v="CUST-0286"/>
        <s v="CUST-0287"/>
        <s v="CUST-0288"/>
        <s v="CUST-0289"/>
        <s v="CUST-0290"/>
        <s v="CUST-0291"/>
        <s v="CUST-0292"/>
        <s v="CUST-0293"/>
        <s v="CUST-0294"/>
        <s v="CUST-0295"/>
        <s v="CUST-0296"/>
        <s v="CUST-0297"/>
        <s v="CUST-0298"/>
        <s v="CUST-0299"/>
        <s v="CUST-0300"/>
        <s v="CUST-0301"/>
        <s v="CUST-0302"/>
        <s v="CUST-0303"/>
        <s v="CUST-0304"/>
        <s v="CUST-0305"/>
        <s v="CUST-0306"/>
        <s v="CUST-0307"/>
        <s v="CUST-0308"/>
        <s v="CUST-0309"/>
        <s v="CUST-0310"/>
        <s v="CUST-0311"/>
        <s v="CUST-0312"/>
        <s v="CUST-0313"/>
        <s v="CUST-0314"/>
        <s v="CUST-0315"/>
        <s v="CUST-0316"/>
        <s v="CUST-0317"/>
        <s v="CUST-0318"/>
        <s v="CUST-0319"/>
        <s v="CUST-0320"/>
        <s v="CUST-0321"/>
        <s v="CUST-0322"/>
        <s v="CUST-0323"/>
        <s v="CUST-0324"/>
        <s v="CUST-0325"/>
        <s v="CUST-0326"/>
        <s v="CUST-0327"/>
        <s v="CUST-0328"/>
        <s v="CUST-0329"/>
        <s v="CUST-0330"/>
        <s v="CUST-0331"/>
        <s v="CUST-0332"/>
        <s v="CUST-0333"/>
        <s v="CUST-0334"/>
        <s v="CUST-0335"/>
        <s v="CUST-0336"/>
        <s v="CUST-0337"/>
        <s v="CUST-0338"/>
        <s v="CUST-0339"/>
        <s v="CUST-0340"/>
        <s v="CUST-0341"/>
        <s v="CUST-0342"/>
        <s v="CUST-0343"/>
        <s v="CUST-0344"/>
        <s v="CUST-0345"/>
        <s v="CUST-0346"/>
        <s v="CUST-0347"/>
        <s v="CUST-0348"/>
        <s v="CUST-0349"/>
        <s v="CUST-0350"/>
        <s v="CUST-0351"/>
        <s v="CUST-0352"/>
        <s v="CUST-0353"/>
        <s v="CUST-0354"/>
        <s v="CUST-0355"/>
        <s v="CUST-0356"/>
        <s v="CUST-0357"/>
        <s v="CUST-0358"/>
        <s v="CUST-0359"/>
        <s v="CUST-0360"/>
        <s v="CUST-0361"/>
        <s v="CUST-0362"/>
        <s v="CUST-0363"/>
        <s v="CUST-0364"/>
        <s v="CUST-0365"/>
        <s v="CUST-0366"/>
        <s v="CUST-0367"/>
        <s v="CUST-0368"/>
        <s v="CUST-0369"/>
        <s v="CUST-0370"/>
        <s v="CUST-0371"/>
        <s v="CUST-0372"/>
        <s v="CUST-0373"/>
        <s v="CUST-0374"/>
        <s v="CUST-0375"/>
        <s v="CUST-0376"/>
        <s v="CUST-0377"/>
        <s v="CUST-0378"/>
        <s v="CUST-0379"/>
        <s v="CUST-0380"/>
        <s v="CUST-0381"/>
        <s v="CUST-0382"/>
        <s v="CUST-0383"/>
        <s v="CUST-0384"/>
        <s v="CUST-0385"/>
        <s v="CUST-0386"/>
        <s v="CUST-0387"/>
        <s v="CUST-0388"/>
        <s v="CUST-0389"/>
        <s v="CUST-0390"/>
        <s v="CUST-0391"/>
        <s v="CUST-0392"/>
        <s v="CUST-0393"/>
        <s v="CUST-0394"/>
        <s v="CUST-0395"/>
        <s v="CUST-0396"/>
        <s v="CUST-0397"/>
        <s v="CUST-0398"/>
        <s v="CUST-0399"/>
        <s v="CUST-0400"/>
        <s v="CUST-0401"/>
        <s v="CUST-0402"/>
        <s v="CUST-0403"/>
        <s v="CUST-0404"/>
        <s v="CUST-0405"/>
        <s v="CUST-0406"/>
        <s v="CUST-0407"/>
        <s v="CUST-0408"/>
        <s v="CUST-0409"/>
        <s v="CUST-0410"/>
        <s v="CUST-0411"/>
        <s v="CUST-0412"/>
        <s v="CUST-0413"/>
        <s v="CUST-0414"/>
        <s v="CUST-0415"/>
        <s v="CUST-0416"/>
        <s v="CUST-0417"/>
        <s v="CUST-0418"/>
        <s v="CUST-0419"/>
        <s v="CUST-0420"/>
        <s v="CUST-0421"/>
        <s v="CUST-0422"/>
        <s v="CUST-0423"/>
        <s v="CUST-0424"/>
        <s v="CUST-0425"/>
        <s v="CUST-0426"/>
        <s v="CUST-0427"/>
        <s v="CUST-0428"/>
        <s v="CUST-0429"/>
        <s v="CUST-0430"/>
        <s v="CUST-0431"/>
        <s v="CUST-0432"/>
        <s v="CUST-0433"/>
        <s v="CUST-0434"/>
        <s v="CUST-0435"/>
        <s v="CUST-0436"/>
        <s v="CUST-0437"/>
        <s v="CUST-0438"/>
        <s v="CUST-0439"/>
        <s v="CUST-0440"/>
        <s v="CUST-0441"/>
        <s v="CUST-0442"/>
        <s v="CUST-0443"/>
        <s v="CUST-0444"/>
        <s v="CUST-0445"/>
        <s v="CUST-0446"/>
        <s v="CUST-0447"/>
        <s v="CUST-0448"/>
        <s v="CUST-0449"/>
        <s v="CUST-0450"/>
        <s v="CUST-0451"/>
        <s v="CUST-0452"/>
        <s v="CUST-0453"/>
        <s v="CUST-0454"/>
        <s v="CUST-0455"/>
        <s v="CUST-0456"/>
        <s v="CUST-0457"/>
        <s v="CUST-0458"/>
        <s v="CUST-0459"/>
        <s v="CUST-0460"/>
        <s v="CUST-0461"/>
        <s v="CUST-0462"/>
        <s v="CUST-0463"/>
        <s v="CUST-0464"/>
        <s v="CUST-0465"/>
        <s v="CUST-0466"/>
        <s v="CUST-0467"/>
        <s v="CUST-0468"/>
        <s v="CUST-0469"/>
        <s v="CUST-0470"/>
        <s v="CUST-0471"/>
        <s v="CUST-0472"/>
        <s v="CUST-0473"/>
        <s v="CUST-0474"/>
        <s v="CUST-0475"/>
        <s v="CUST-0476"/>
        <s v="CUST-0477"/>
        <s v="CUST-0478"/>
        <s v="CUST-0479"/>
        <s v="CUST-0480"/>
        <s v="CUST-0481"/>
        <s v="CUST-0482"/>
        <s v="CUST-0483"/>
        <s v="CUST-0484"/>
        <s v="CUST-0485"/>
        <s v="CUST-0486"/>
        <s v="CUST-0487"/>
        <s v="CUST-0488"/>
        <s v="CUST-0489"/>
        <s v="CUST-0490"/>
        <s v="CUST-0491"/>
        <s v="CUST-0492"/>
        <s v="CUST-0493"/>
        <s v="CUST-0494"/>
        <s v="CUST-0495"/>
        <s v="CUST-0496"/>
        <s v="CUST-0497"/>
        <s v="CUST-0498"/>
        <s v="CUST-0499"/>
        <s v="CUST-0500"/>
        <s v="CUST-0501"/>
        <s v="CUST-0502"/>
        <s v="CUST-0503"/>
        <s v="CUST-0504"/>
        <s v="CUST-0505"/>
        <s v="CUST-0506"/>
        <s v="CUST-0507"/>
        <s v="CUST-0508"/>
        <s v="CUST-0509"/>
        <s v="CUST-0510"/>
        <s v="CUST-0511"/>
        <s v="CUST-0512"/>
        <s v="CUST-0513"/>
        <s v="CUST-0514"/>
        <s v="CUST-0515"/>
        <s v="CUST-0516"/>
        <s v="CUST-0517"/>
        <s v="CUST-0518"/>
        <s v="CUST-0519"/>
        <s v="CUST-0520"/>
        <s v="CUST-0521"/>
        <s v="CUST-0522"/>
        <s v="CUST-0523"/>
        <s v="CUST-0524"/>
        <s v="CUST-0525"/>
        <s v="CUST-0526"/>
        <s v="CUST-0527"/>
        <s v="CUST-0528"/>
        <s v="CUST-0529"/>
        <s v="CUST-0530"/>
        <s v="CUST-0531"/>
        <s v="CUST-0532"/>
        <s v="CUST-0533"/>
        <s v="CUST-0534"/>
        <s v="CUST-0535"/>
        <s v="CUST-0536"/>
        <s v="CUST-0537"/>
        <s v="CUST-0538"/>
        <s v="CUST-0539"/>
        <s v="CUST-0540"/>
        <s v="CUST-0541"/>
        <s v="CUST-0542"/>
        <s v="CUST-0543"/>
        <s v="CUST-0544"/>
        <s v="CUST-0545"/>
        <s v="CUST-0546"/>
        <s v="CUST-0547"/>
        <s v="CUST-0548"/>
        <s v="CUST-0549"/>
        <s v="CUST-0550"/>
        <s v="CUST-0551"/>
        <s v="CUST-0552"/>
        <s v="CUST-0553"/>
        <s v="CUST-0554"/>
        <s v="CUST-0555"/>
        <s v="CUST-0556"/>
        <s v="CUST-0557"/>
        <s v="CUST-0558"/>
        <s v="CUST-0559"/>
        <s v="CUST-0560"/>
        <s v="CUST-0561"/>
        <s v="CUST-0562"/>
        <s v="CUST-0563"/>
        <s v="CUST-0564"/>
        <s v="CUST-0565"/>
        <s v="CUST-0566"/>
        <s v="CUST-0567"/>
        <s v="CUST-0568"/>
        <s v="CUST-0569"/>
        <s v="CUST-0570"/>
        <s v="CUST-0571"/>
        <s v="CUST-0572"/>
        <s v="CUST-0573"/>
        <s v="CUST-0574"/>
        <s v="CUST-0575"/>
        <s v="CUST-0576"/>
        <s v="CUST-0577"/>
        <s v="CUST-0578"/>
        <s v="CUST-0579"/>
        <s v="CUST-0580"/>
        <s v="CUST-0581"/>
        <s v="CUST-0582"/>
        <s v="CUST-0583"/>
        <s v="CUST-0584"/>
        <s v="CUST-0585"/>
        <s v="CUST-0586"/>
        <s v="CUST-0587"/>
        <s v="CUST-0588"/>
        <s v="CUST-0589"/>
        <s v="CUST-0590"/>
        <s v="CUST-0591"/>
        <s v="CUST-0592"/>
        <s v="CUST-0593"/>
        <s v="CUST-0594"/>
        <s v="CUST-0595"/>
        <s v="CUST-0596"/>
        <s v="CUST-0597"/>
        <s v="CUST-0598"/>
        <s v="CUST-0599"/>
        <s v="CUST-0600"/>
      </sharedItems>
    </cacheField>
    <cacheField name="plan" numFmtId="0">
      <sharedItems count="4">
        <s v="Professional"/>
        <s v="Starter"/>
        <s v="Business"/>
        <s v="Enterprise"/>
      </sharedItems>
    </cacheField>
    <cacheField name="billing_cycle" numFmtId="0">
      <sharedItems count="2">
        <s v="Monthly"/>
        <s v="Annual"/>
      </sharedItems>
    </cacheField>
    <cacheField name="industry" numFmtId="0">
      <sharedItems/>
    </cacheField>
    <cacheField name="company_size" numFmtId="0">
      <sharedItems count="5">
        <s v="51-200"/>
        <s v="500+"/>
        <s v="11-50"/>
        <s v="1-10"/>
        <s v="201-500"/>
      </sharedItems>
    </cacheField>
    <cacheField name="seats" numFmtId="0">
      <sharedItems containsSemiMixedTypes="0" containsString="0" containsNumber="1" containsInteger="1" minValue="1" maxValue="297"/>
    </cacheField>
    <cacheField name="monthly_revenue" numFmtId="0">
      <sharedItems containsSemiMixedTypes="0" containsString="0" containsNumber="1" minValue="24.65" maxValue="10978"/>
    </cacheField>
    <cacheField name="acquisition_channel" numFmtId="0">
      <sharedItems/>
    </cacheField>
    <cacheField name="region" numFmtId="0">
      <sharedItems/>
    </cacheField>
    <cacheField name="signup_date" numFmtId="14">
      <sharedItems containsSemiMixedTypes="0" containsNonDate="0" containsDate="1" containsString="0" minDate="2022-01-06T00:00:00" maxDate="2026-01-01T00:00:00"/>
    </cacheField>
    <cacheField name="churned" numFmtId="0">
      <sharedItems count="2">
        <s v="Yes"/>
        <s v="No"/>
      </sharedItems>
    </cacheField>
    <cacheField name="Churn_Flag" numFmtId="0">
      <sharedItems containsSemiMixedTypes="0" containsString="0" containsNumber="1" containsInteger="1" minValue="0" maxValue="1"/>
    </cacheField>
    <cacheField name="churn_date" numFmtId="14">
      <sharedItems containsNonDate="0" containsDate="1" containsString="0" containsBlank="1" minDate="2022-02-14T00:00:00" maxDate="2025-12-20T00:00:00"/>
    </cacheField>
    <cacheField name="churn_reason" numFmtId="0">
      <sharedItems count="8">
        <s v="Price Too High"/>
        <s v=""/>
        <s v="Poor Support"/>
        <s v="Switched Competitor"/>
        <s v="Budget Cuts"/>
        <s v="Company Closed"/>
        <s v="No Longer Needed"/>
        <s v="Missing Features"/>
      </sharedItems>
    </cacheField>
    <cacheField name="support_tickets_12mo" numFmtId="0">
      <sharedItems containsSemiMixedTypes="0" containsString="0" containsNumber="1" containsInteger="1" minValue="0" maxValue="15"/>
    </cacheField>
    <cacheField name="nps_score" numFmtId="0">
      <sharedItems containsSemiMixedTypes="0" containsString="0" containsNumber="1" containsInteger="1" minValue="1" maxValue="10"/>
    </cacheField>
    <cacheField name="feature_usage_pct" numFmtId="0">
      <sharedItems containsSemiMixedTypes="0" containsString="0" containsNumber="1" containsInteger="1" minValue="10" maxValue="95"/>
    </cacheField>
    <cacheField name="upgrad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x v="0"/>
    <x v="0"/>
    <x v="0"/>
    <s v="Retail"/>
    <x v="0"/>
    <n v="64"/>
    <n v="825.55"/>
    <s v="Organic Search"/>
    <s v="North America"/>
    <d v="2022-06-27T00:00:00"/>
    <x v="0"/>
    <n v="1"/>
    <d v="2024-03-05T00:00:00"/>
    <x v="0"/>
    <n v="13"/>
    <n v="3"/>
    <n v="15"/>
    <s v="No"/>
  </r>
  <r>
    <x v="1"/>
    <x v="0"/>
    <x v="1"/>
    <s v="Retail"/>
    <x v="0"/>
    <n v="35"/>
    <n v="409.62"/>
    <s v="Direct Sales"/>
    <s v="North America"/>
    <d v="2023-03-19T00:00:00"/>
    <x v="1"/>
    <n v="0"/>
    <m/>
    <x v="1"/>
    <n v="1"/>
    <n v="3"/>
    <n v="52"/>
    <s v="Yes"/>
  </r>
  <r>
    <x v="2"/>
    <x v="1"/>
    <x v="1"/>
    <s v="Finance"/>
    <x v="1"/>
    <n v="266"/>
    <n v="1004.49"/>
    <s v="Partner"/>
    <s v="North America"/>
    <d v="2024-10-19T00:00:00"/>
    <x v="0"/>
    <n v="1"/>
    <d v="2025-04-13T00:00:00"/>
    <x v="0"/>
    <n v="10"/>
    <n v="4"/>
    <n v="31"/>
    <s v="No"/>
  </r>
  <r>
    <x v="3"/>
    <x v="2"/>
    <x v="1"/>
    <s v="Real Estate"/>
    <x v="2"/>
    <n v="34"/>
    <n v="1006.44"/>
    <s v="Partner"/>
    <s v="Europe"/>
    <d v="2023-01-07T00:00:00"/>
    <x v="1"/>
    <n v="0"/>
    <m/>
    <x v="1"/>
    <n v="3"/>
    <n v="7"/>
    <n v="58"/>
    <s v="No"/>
  </r>
  <r>
    <x v="4"/>
    <x v="1"/>
    <x v="1"/>
    <s v="Manufacturing"/>
    <x v="0"/>
    <n v="48"/>
    <n v="198.43"/>
    <s v="Direct Sales"/>
    <s v="North America"/>
    <d v="2025-09-23T00:00:00"/>
    <x v="1"/>
    <n v="0"/>
    <m/>
    <x v="1"/>
    <n v="3"/>
    <n v="7"/>
    <n v="59"/>
    <s v="No"/>
  </r>
  <r>
    <x v="5"/>
    <x v="2"/>
    <x v="1"/>
    <s v="Technology"/>
    <x v="3"/>
    <n v="3"/>
    <n v="219.9"/>
    <s v="Referral"/>
    <s v="North America"/>
    <d v="2023-09-28T00:00:00"/>
    <x v="1"/>
    <n v="0"/>
    <m/>
    <x v="1"/>
    <n v="12"/>
    <n v="3"/>
    <n v="48"/>
    <s v="No"/>
  </r>
  <r>
    <x v="6"/>
    <x v="1"/>
    <x v="0"/>
    <s v="Finance"/>
    <x v="4"/>
    <n v="121"/>
    <n v="551"/>
    <s v="Partner"/>
    <s v="Europe"/>
    <d v="2024-03-07T00:00:00"/>
    <x v="0"/>
    <n v="1"/>
    <d v="2025-04-08T00:00:00"/>
    <x v="2"/>
    <n v="0"/>
    <n v="2"/>
    <n v="14"/>
    <s v="No"/>
  </r>
  <r>
    <x v="7"/>
    <x v="1"/>
    <x v="0"/>
    <s v="Technology"/>
    <x v="0"/>
    <n v="48"/>
    <n v="233.45"/>
    <s v="Referral"/>
    <s v="Europe"/>
    <d v="2025-04-08T00:00:00"/>
    <x v="0"/>
    <n v="1"/>
    <d v="2025-06-08T00:00:00"/>
    <x v="0"/>
    <n v="10"/>
    <n v="2"/>
    <n v="28"/>
    <s v="No"/>
  </r>
  <r>
    <x v="8"/>
    <x v="1"/>
    <x v="0"/>
    <s v="Media"/>
    <x v="3"/>
    <n v="3"/>
    <n v="37.700000000000003"/>
    <s v="Partner"/>
    <s v="North America"/>
    <d v="2023-01-22T00:00:00"/>
    <x v="0"/>
    <n v="1"/>
    <d v="2023-04-21T00:00:00"/>
    <x v="3"/>
    <n v="5"/>
    <n v="6"/>
    <n v="15"/>
    <s v="No"/>
  </r>
  <r>
    <x v="9"/>
    <x v="2"/>
    <x v="0"/>
    <s v="Healthcare"/>
    <x v="0"/>
    <n v="80"/>
    <n v="2557.15"/>
    <s v="Partner"/>
    <s v="North America"/>
    <d v="2022-06-27T00:00:00"/>
    <x v="0"/>
    <n v="1"/>
    <d v="2023-12-01T00:00:00"/>
    <x v="4"/>
    <n v="3"/>
    <n v="4"/>
    <n v="48"/>
    <s v="No"/>
  </r>
  <r>
    <x v="10"/>
    <x v="2"/>
    <x v="1"/>
    <s v="Healthcare"/>
    <x v="4"/>
    <n v="77"/>
    <n v="2097.46"/>
    <s v="Organic Search"/>
    <s v="Asia Pacific"/>
    <d v="2022-12-07T00:00:00"/>
    <x v="0"/>
    <n v="1"/>
    <d v="2023-06-14T00:00:00"/>
    <x v="5"/>
    <n v="9"/>
    <n v="1"/>
    <n v="37"/>
    <s v="No"/>
  </r>
  <r>
    <x v="11"/>
    <x v="2"/>
    <x v="1"/>
    <s v="Technology"/>
    <x v="2"/>
    <n v="30"/>
    <n v="904.95"/>
    <s v="Referral"/>
    <s v="North America"/>
    <d v="2023-11-17T00:00:00"/>
    <x v="1"/>
    <n v="0"/>
    <m/>
    <x v="1"/>
    <n v="4"/>
    <n v="1"/>
    <n v="47"/>
    <s v="Yes"/>
  </r>
  <r>
    <x v="12"/>
    <x v="2"/>
    <x v="0"/>
    <s v="Finance"/>
    <x v="3"/>
    <n v="4"/>
    <n v="288.55"/>
    <s v="Referral"/>
    <s v="Europe"/>
    <d v="2024-07-02T00:00:00"/>
    <x v="1"/>
    <n v="0"/>
    <m/>
    <x v="1"/>
    <n v="10"/>
    <n v="9"/>
    <n v="84"/>
    <s v="Yes"/>
  </r>
  <r>
    <x v="13"/>
    <x v="1"/>
    <x v="0"/>
    <s v="Retail"/>
    <x v="0"/>
    <n v="56"/>
    <n v="268.25"/>
    <s v="Paid Ads"/>
    <s v="Europe"/>
    <d v="2022-05-29T00:00:00"/>
    <x v="0"/>
    <n v="1"/>
    <d v="2022-09-27T00:00:00"/>
    <x v="2"/>
    <n v="1"/>
    <n v="2"/>
    <n v="21"/>
    <s v="No"/>
  </r>
  <r>
    <x v="14"/>
    <x v="1"/>
    <x v="0"/>
    <s v="Education"/>
    <x v="3"/>
    <n v="6"/>
    <n v="50.75"/>
    <s v="Referral"/>
    <s v="North America"/>
    <d v="2024-01-17T00:00:00"/>
    <x v="0"/>
    <n v="1"/>
    <d v="2024-05-16T00:00:00"/>
    <x v="6"/>
    <n v="7"/>
    <n v="3"/>
    <n v="25"/>
    <s v="No"/>
  </r>
  <r>
    <x v="15"/>
    <x v="1"/>
    <x v="0"/>
    <s v="Manufacturing"/>
    <x v="4"/>
    <n v="52"/>
    <n v="250.85"/>
    <s v="Organic Search"/>
    <s v="North America"/>
    <d v="2022-06-01T00:00:00"/>
    <x v="0"/>
    <n v="1"/>
    <d v="2023-01-24T00:00:00"/>
    <x v="4"/>
    <n v="11"/>
    <n v="4"/>
    <n v="34"/>
    <s v="No"/>
  </r>
  <r>
    <x v="16"/>
    <x v="2"/>
    <x v="0"/>
    <s v="Education"/>
    <x v="2"/>
    <n v="34"/>
    <n v="1184.05"/>
    <s v="Paid Ads"/>
    <s v="North America"/>
    <d v="2024-12-23T00:00:00"/>
    <x v="0"/>
    <n v="1"/>
    <d v="2024-12-31T00:00:00"/>
    <x v="6"/>
    <n v="3"/>
    <n v="3"/>
    <n v="49"/>
    <s v="No"/>
  </r>
  <r>
    <x v="17"/>
    <x v="1"/>
    <x v="0"/>
    <s v="Media"/>
    <x v="0"/>
    <n v="64"/>
    <n v="303.05"/>
    <s v="Referral"/>
    <s v="Europe"/>
    <d v="2023-06-21T00:00:00"/>
    <x v="0"/>
    <n v="1"/>
    <d v="2023-08-05T00:00:00"/>
    <x v="5"/>
    <n v="14"/>
    <n v="3"/>
    <n v="25"/>
    <s v="No"/>
  </r>
  <r>
    <x v="18"/>
    <x v="0"/>
    <x v="1"/>
    <s v="Legal"/>
    <x v="1"/>
    <n v="67"/>
    <n v="731.93"/>
    <s v="Partner"/>
    <s v="Latin America"/>
    <d v="2024-03-26T00:00:00"/>
    <x v="0"/>
    <n v="1"/>
    <d v="2025-04-23T00:00:00"/>
    <x v="5"/>
    <n v="10"/>
    <n v="2"/>
    <n v="10"/>
    <s v="No"/>
  </r>
  <r>
    <x v="19"/>
    <x v="3"/>
    <x v="1"/>
    <s v="Education"/>
    <x v="3"/>
    <n v="7"/>
    <n v="805.88"/>
    <s v="Organic Search"/>
    <s v="Asia Pacific"/>
    <d v="2023-08-11T00:00:00"/>
    <x v="1"/>
    <n v="0"/>
    <m/>
    <x v="1"/>
    <n v="8"/>
    <n v="4"/>
    <n v="93"/>
    <s v="No"/>
  </r>
  <r>
    <x v="20"/>
    <x v="0"/>
    <x v="1"/>
    <s v="Retail"/>
    <x v="0"/>
    <n v="66"/>
    <n v="721.86"/>
    <s v="Partner"/>
    <s v="Europe"/>
    <d v="2023-11-23T00:00:00"/>
    <x v="0"/>
    <n v="1"/>
    <d v="2024-05-18T00:00:00"/>
    <x v="0"/>
    <n v="7"/>
    <n v="2"/>
    <n v="19"/>
    <s v="No"/>
  </r>
  <r>
    <x v="21"/>
    <x v="2"/>
    <x v="1"/>
    <s v="Education"/>
    <x v="3"/>
    <n v="6"/>
    <n v="296.01"/>
    <s v="Referral"/>
    <s v="Europe"/>
    <d v="2022-07-02T00:00:00"/>
    <x v="1"/>
    <n v="0"/>
    <m/>
    <x v="1"/>
    <n v="5"/>
    <n v="7"/>
    <n v="40"/>
    <s v="No"/>
  </r>
  <r>
    <x v="22"/>
    <x v="1"/>
    <x v="0"/>
    <s v="Healthcare"/>
    <x v="2"/>
    <n v="25"/>
    <n v="133.4"/>
    <s v="Paid Ads"/>
    <s v="Europe"/>
    <d v="2024-02-17T00:00:00"/>
    <x v="0"/>
    <n v="1"/>
    <d v="2024-04-23T00:00:00"/>
    <x v="5"/>
    <n v="11"/>
    <n v="1"/>
    <n v="16"/>
    <s v="No"/>
  </r>
  <r>
    <x v="23"/>
    <x v="3"/>
    <x v="1"/>
    <s v="Manufacturing"/>
    <x v="2"/>
    <n v="14"/>
    <n v="1251.24"/>
    <s v="Referral"/>
    <s v="Europe"/>
    <d v="2025-05-22T00:00:00"/>
    <x v="1"/>
    <n v="0"/>
    <m/>
    <x v="1"/>
    <n v="11"/>
    <n v="1"/>
    <n v="85"/>
    <s v="No"/>
  </r>
  <r>
    <x v="24"/>
    <x v="1"/>
    <x v="1"/>
    <s v="Retail"/>
    <x v="2"/>
    <n v="7"/>
    <n v="46.83"/>
    <s v="Referral"/>
    <s v="North America"/>
    <d v="2024-06-08T00:00:00"/>
    <x v="1"/>
    <n v="0"/>
    <m/>
    <x v="1"/>
    <n v="1"/>
    <n v="1"/>
    <n v="42"/>
    <s v="No"/>
  </r>
  <r>
    <x v="25"/>
    <x v="3"/>
    <x v="1"/>
    <s v="Media"/>
    <x v="3"/>
    <n v="4"/>
    <n v="615.02"/>
    <s v="Referral"/>
    <s v="Europe"/>
    <d v="2025-07-25T00:00:00"/>
    <x v="1"/>
    <n v="0"/>
    <m/>
    <x v="1"/>
    <n v="2"/>
    <n v="9"/>
    <n v="73"/>
    <s v="No"/>
  </r>
  <r>
    <x v="26"/>
    <x v="1"/>
    <x v="0"/>
    <s v="Consulting"/>
    <x v="3"/>
    <n v="1"/>
    <n v="29"/>
    <s v="Partner"/>
    <s v="Asia Pacific"/>
    <d v="2023-09-10T00:00:00"/>
    <x v="0"/>
    <n v="1"/>
    <d v="2025-04-24T00:00:00"/>
    <x v="2"/>
    <n v="8"/>
    <n v="3"/>
    <n v="10"/>
    <s v="No"/>
  </r>
  <r>
    <x v="27"/>
    <x v="0"/>
    <x v="1"/>
    <s v="Technology"/>
    <x v="0"/>
    <n v="35"/>
    <n v="409.62"/>
    <s v="Organic Search"/>
    <s v="Latin America"/>
    <d v="2025-12-29T00:00:00"/>
    <x v="1"/>
    <n v="0"/>
    <m/>
    <x v="1"/>
    <n v="8"/>
    <n v="4"/>
    <n v="53"/>
    <s v="No"/>
  </r>
  <r>
    <x v="28"/>
    <x v="1"/>
    <x v="0"/>
    <s v="Real Estate"/>
    <x v="2"/>
    <n v="22"/>
    <n v="120.35"/>
    <s v="Organic Search"/>
    <s v="North America"/>
    <d v="2022-12-06T00:00:00"/>
    <x v="0"/>
    <n v="1"/>
    <d v="2023-08-15T00:00:00"/>
    <x v="7"/>
    <n v="4"/>
    <n v="2"/>
    <n v="17"/>
    <s v="No"/>
  </r>
  <r>
    <x v="29"/>
    <x v="2"/>
    <x v="1"/>
    <s v="Real Estate"/>
    <x v="1"/>
    <n v="230"/>
    <n v="5979.45"/>
    <s v="Partner"/>
    <s v="Europe"/>
    <d v="2023-11-04T00:00:00"/>
    <x v="1"/>
    <n v="0"/>
    <m/>
    <x v="1"/>
    <n v="9"/>
    <n v="3"/>
    <n v="76"/>
    <s v="No"/>
  </r>
  <r>
    <x v="30"/>
    <x v="2"/>
    <x v="1"/>
    <s v="Finance"/>
    <x v="1"/>
    <n v="174"/>
    <n v="4558.59"/>
    <s v="Direct Sales"/>
    <s v="Europe"/>
    <d v="2024-07-20T00:00:00"/>
    <x v="1"/>
    <n v="0"/>
    <m/>
    <x v="1"/>
    <n v="8"/>
    <n v="7"/>
    <n v="84"/>
    <s v="No"/>
  </r>
  <r>
    <x v="31"/>
    <x v="3"/>
    <x v="1"/>
    <s v="Technology"/>
    <x v="3"/>
    <n v="5"/>
    <n v="678.64"/>
    <s v="Referral"/>
    <s v="North America"/>
    <d v="2023-03-28T00:00:00"/>
    <x v="1"/>
    <n v="0"/>
    <m/>
    <x v="1"/>
    <n v="7"/>
    <n v="8"/>
    <n v="16"/>
    <s v="No"/>
  </r>
  <r>
    <x v="32"/>
    <x v="1"/>
    <x v="1"/>
    <s v="Consulting"/>
    <x v="3"/>
    <n v="6"/>
    <n v="43.14"/>
    <s v="Organic Search"/>
    <s v="Latin America"/>
    <d v="2024-05-19T00:00:00"/>
    <x v="0"/>
    <n v="1"/>
    <d v="2024-07-29T00:00:00"/>
    <x v="6"/>
    <n v="11"/>
    <n v="3"/>
    <n v="30"/>
    <s v="No"/>
  </r>
  <r>
    <x v="33"/>
    <x v="3"/>
    <x v="1"/>
    <s v="Education"/>
    <x v="2"/>
    <n v="35"/>
    <n v="2587.3200000000002"/>
    <s v="Referral"/>
    <s v="North America"/>
    <d v="2023-09-25T00:00:00"/>
    <x v="1"/>
    <n v="0"/>
    <m/>
    <x v="1"/>
    <n v="5"/>
    <n v="8"/>
    <n v="33"/>
    <s v="Yes"/>
  </r>
  <r>
    <x v="34"/>
    <x v="1"/>
    <x v="0"/>
    <s v="Manufacturing"/>
    <x v="0"/>
    <n v="70"/>
    <n v="329.15"/>
    <s v="Organic Search"/>
    <s v="Latin America"/>
    <d v="2022-05-08T00:00:00"/>
    <x v="0"/>
    <n v="1"/>
    <d v="2022-07-24T00:00:00"/>
    <x v="3"/>
    <n v="0"/>
    <n v="6"/>
    <n v="30"/>
    <s v="No"/>
  </r>
  <r>
    <x v="35"/>
    <x v="0"/>
    <x v="0"/>
    <s v="Manufacturing"/>
    <x v="3"/>
    <n v="7"/>
    <n v="150.1"/>
    <s v="Referral"/>
    <s v="Latin America"/>
    <d v="2023-04-22T00:00:00"/>
    <x v="0"/>
    <n v="1"/>
    <d v="2023-12-24T00:00:00"/>
    <x v="5"/>
    <n v="10"/>
    <n v="6"/>
    <n v="16"/>
    <s v="No"/>
  </r>
  <r>
    <x v="36"/>
    <x v="0"/>
    <x v="0"/>
    <s v="Technology"/>
    <x v="3"/>
    <n v="2"/>
    <n v="90.85"/>
    <s v="Direct Sales"/>
    <s v="North America"/>
    <d v="2024-06-14T00:00:00"/>
    <x v="0"/>
    <n v="1"/>
    <d v="2024-11-08T00:00:00"/>
    <x v="6"/>
    <n v="11"/>
    <n v="2"/>
    <n v="34"/>
    <s v="No"/>
  </r>
  <r>
    <x v="37"/>
    <x v="0"/>
    <x v="0"/>
    <s v="Real Estate"/>
    <x v="3"/>
    <n v="5"/>
    <n v="126.4"/>
    <s v="Organic Search"/>
    <s v="Europe"/>
    <d v="2022-06-06T00:00:00"/>
    <x v="0"/>
    <n v="1"/>
    <d v="2022-08-11T00:00:00"/>
    <x v="4"/>
    <n v="6"/>
    <n v="1"/>
    <n v="30"/>
    <s v="No"/>
  </r>
  <r>
    <x v="38"/>
    <x v="2"/>
    <x v="1"/>
    <s v="Retail"/>
    <x v="0"/>
    <n v="30"/>
    <n v="904.95"/>
    <s v="Organic Search"/>
    <s v="Asia Pacific"/>
    <d v="2024-05-02T00:00:00"/>
    <x v="1"/>
    <n v="0"/>
    <m/>
    <x v="1"/>
    <n v="4"/>
    <n v="9"/>
    <n v="71"/>
    <s v="Yes"/>
  </r>
  <r>
    <x v="39"/>
    <x v="2"/>
    <x v="1"/>
    <s v="Media"/>
    <x v="2"/>
    <n v="24"/>
    <n v="752.72"/>
    <s v="Direct Sales"/>
    <s v="Asia Pacific"/>
    <d v="2023-05-17T00:00:00"/>
    <x v="1"/>
    <n v="0"/>
    <m/>
    <x v="1"/>
    <n v="9"/>
    <n v="2"/>
    <n v="76"/>
    <s v="No"/>
  </r>
  <r>
    <x v="40"/>
    <x v="1"/>
    <x v="0"/>
    <s v="Education"/>
    <x v="0"/>
    <n v="53"/>
    <n v="255.2"/>
    <s v="Referral"/>
    <s v="Asia Pacific"/>
    <d v="2022-12-21T00:00:00"/>
    <x v="0"/>
    <n v="1"/>
    <d v="2023-05-19T00:00:00"/>
    <x v="2"/>
    <n v="4"/>
    <n v="5"/>
    <n v="45"/>
    <s v="No"/>
  </r>
  <r>
    <x v="41"/>
    <x v="1"/>
    <x v="0"/>
    <s v="Real Estate"/>
    <x v="0"/>
    <n v="34"/>
    <n v="172.55"/>
    <s v="Partner"/>
    <s v="Europe"/>
    <d v="2025-01-04T00:00:00"/>
    <x v="1"/>
    <n v="0"/>
    <m/>
    <x v="1"/>
    <n v="9"/>
    <n v="2"/>
    <n v="73"/>
    <s v="No"/>
  </r>
  <r>
    <x v="42"/>
    <x v="0"/>
    <x v="1"/>
    <s v="Manufacturing"/>
    <x v="3"/>
    <n v="2"/>
    <n v="77.22"/>
    <s v="Paid Ads"/>
    <s v="Europe"/>
    <d v="2022-02-20T00:00:00"/>
    <x v="1"/>
    <n v="0"/>
    <m/>
    <x v="1"/>
    <n v="9"/>
    <n v="9"/>
    <n v="20"/>
    <s v="No"/>
  </r>
  <r>
    <x v="43"/>
    <x v="0"/>
    <x v="1"/>
    <s v="Legal"/>
    <x v="3"/>
    <n v="2"/>
    <n v="77.22"/>
    <s v="Social Media"/>
    <s v="North America"/>
    <d v="2022-04-27T00:00:00"/>
    <x v="0"/>
    <n v="1"/>
    <d v="2022-08-02T00:00:00"/>
    <x v="0"/>
    <n v="7"/>
    <n v="6"/>
    <n v="20"/>
    <s v="No"/>
  </r>
  <r>
    <x v="44"/>
    <x v="1"/>
    <x v="0"/>
    <s v="Retail"/>
    <x v="2"/>
    <n v="7"/>
    <n v="55.1"/>
    <s v="Social Media"/>
    <s v="Latin America"/>
    <d v="2025-09-10T00:00:00"/>
    <x v="1"/>
    <n v="0"/>
    <m/>
    <x v="1"/>
    <n v="12"/>
    <n v="4"/>
    <n v="67"/>
    <s v="No"/>
  </r>
  <r>
    <x v="45"/>
    <x v="0"/>
    <x v="0"/>
    <s v="Finance"/>
    <x v="3"/>
    <n v="4"/>
    <n v="114.55"/>
    <s v="Paid Ads"/>
    <s v="North America"/>
    <d v="2023-07-07T00:00:00"/>
    <x v="0"/>
    <n v="1"/>
    <d v="2024-02-28T00:00:00"/>
    <x v="7"/>
    <n v="1"/>
    <n v="6"/>
    <n v="42"/>
    <s v="No"/>
  </r>
  <r>
    <x v="46"/>
    <x v="2"/>
    <x v="0"/>
    <s v="Media"/>
    <x v="3"/>
    <n v="5"/>
    <n v="318.39999999999998"/>
    <s v="Partner"/>
    <s v="North America"/>
    <d v="2023-01-17T00:00:00"/>
    <x v="0"/>
    <n v="1"/>
    <d v="2025-06-13T00:00:00"/>
    <x v="6"/>
    <n v="15"/>
    <n v="4"/>
    <n v="46"/>
    <s v="No"/>
  </r>
  <r>
    <x v="47"/>
    <x v="2"/>
    <x v="1"/>
    <s v="Education"/>
    <x v="3"/>
    <n v="4"/>
    <n v="245.27"/>
    <s v="Referral"/>
    <s v="Europe"/>
    <d v="2022-04-18T00:00:00"/>
    <x v="0"/>
    <n v="1"/>
    <d v="2022-07-12T00:00:00"/>
    <x v="4"/>
    <n v="4"/>
    <n v="5"/>
    <n v="16"/>
    <s v="No"/>
  </r>
  <r>
    <x v="48"/>
    <x v="0"/>
    <x v="0"/>
    <s v="Real Estate"/>
    <x v="0"/>
    <n v="36"/>
    <n v="493.75"/>
    <s v="Partner"/>
    <s v="Asia Pacific"/>
    <d v="2022-05-18T00:00:00"/>
    <x v="0"/>
    <n v="1"/>
    <d v="2022-08-27T00:00:00"/>
    <x v="2"/>
    <n v="1"/>
    <n v="6"/>
    <n v="26"/>
    <s v="No"/>
  </r>
  <r>
    <x v="49"/>
    <x v="1"/>
    <x v="1"/>
    <s v="Healthcare"/>
    <x v="3"/>
    <n v="7"/>
    <n v="46.83"/>
    <s v="Organic Search"/>
    <s v="North America"/>
    <d v="2022-06-22T00:00:00"/>
    <x v="0"/>
    <n v="1"/>
    <d v="2024-06-30T00:00:00"/>
    <x v="0"/>
    <n v="2"/>
    <n v="3"/>
    <n v="38"/>
    <s v="No"/>
  </r>
  <r>
    <x v="50"/>
    <x v="0"/>
    <x v="0"/>
    <s v="Consulting"/>
    <x v="0"/>
    <n v="58"/>
    <n v="754.45"/>
    <s v="Partner"/>
    <s v="Europe"/>
    <d v="2022-12-27T00:00:00"/>
    <x v="0"/>
    <n v="1"/>
    <d v="2023-04-14T00:00:00"/>
    <x v="0"/>
    <n v="10"/>
    <n v="3"/>
    <n v="29"/>
    <s v="No"/>
  </r>
  <r>
    <x v="51"/>
    <x v="1"/>
    <x v="0"/>
    <s v="Healthcare"/>
    <x v="4"/>
    <n v="138"/>
    <n v="624.95000000000005"/>
    <s v="Referral"/>
    <s v="North America"/>
    <d v="2025-03-16T00:00:00"/>
    <x v="0"/>
    <n v="1"/>
    <d v="2025-07-15T00:00:00"/>
    <x v="4"/>
    <n v="0"/>
    <n v="1"/>
    <n v="38"/>
    <s v="No"/>
  </r>
  <r>
    <x v="52"/>
    <x v="1"/>
    <x v="0"/>
    <s v="Manufacturing"/>
    <x v="3"/>
    <n v="4"/>
    <n v="42.05"/>
    <s v="Organic Search"/>
    <s v="North America"/>
    <d v="2025-04-03T00:00:00"/>
    <x v="0"/>
    <n v="1"/>
    <d v="2025-07-04T00:00:00"/>
    <x v="0"/>
    <n v="1"/>
    <n v="2"/>
    <n v="43"/>
    <s v="No"/>
  </r>
  <r>
    <x v="53"/>
    <x v="0"/>
    <x v="1"/>
    <s v="Healthcare"/>
    <x v="4"/>
    <n v="82"/>
    <n v="883.02"/>
    <s v="Social Media"/>
    <s v="North America"/>
    <d v="2024-06-23T00:00:00"/>
    <x v="1"/>
    <n v="0"/>
    <m/>
    <x v="1"/>
    <n v="4"/>
    <n v="8"/>
    <n v="81"/>
    <s v="No"/>
  </r>
  <r>
    <x v="54"/>
    <x v="2"/>
    <x v="0"/>
    <s v="Manufacturing"/>
    <x v="3"/>
    <n v="7"/>
    <n v="378.1"/>
    <s v="Organic Search"/>
    <s v="North America"/>
    <d v="2022-04-13T00:00:00"/>
    <x v="0"/>
    <n v="1"/>
    <d v="2024-09-16T00:00:00"/>
    <x v="7"/>
    <n v="6"/>
    <n v="2"/>
    <n v="21"/>
    <s v="No"/>
  </r>
  <r>
    <x v="55"/>
    <x v="2"/>
    <x v="0"/>
    <s v="Technology"/>
    <x v="2"/>
    <n v="14"/>
    <n v="587.04999999999995"/>
    <s v="Paid Ads"/>
    <s v="North America"/>
    <d v="2024-12-23T00:00:00"/>
    <x v="0"/>
    <n v="1"/>
    <d v="2025-11-15T00:00:00"/>
    <x v="7"/>
    <n v="3"/>
    <n v="2"/>
    <n v="37"/>
    <s v="No"/>
  </r>
  <r>
    <x v="56"/>
    <x v="0"/>
    <x v="1"/>
    <s v="Healthcare"/>
    <x v="2"/>
    <n v="34"/>
    <n v="399.54"/>
    <s v="Referral"/>
    <s v="North America"/>
    <d v="2024-07-12T00:00:00"/>
    <x v="0"/>
    <n v="1"/>
    <d v="2025-08-05T00:00:00"/>
    <x v="6"/>
    <n v="1"/>
    <n v="1"/>
    <n v="10"/>
    <s v="No"/>
  </r>
  <r>
    <x v="57"/>
    <x v="1"/>
    <x v="0"/>
    <s v="Real Estate"/>
    <x v="4"/>
    <n v="48"/>
    <n v="233.45"/>
    <s v="Referral"/>
    <s v="Europe"/>
    <d v="2022-09-10T00:00:00"/>
    <x v="0"/>
    <n v="1"/>
    <d v="2023-03-17T00:00:00"/>
    <x v="0"/>
    <n v="2"/>
    <n v="1"/>
    <n v="12"/>
    <s v="No"/>
  </r>
  <r>
    <x v="58"/>
    <x v="0"/>
    <x v="1"/>
    <s v="Healthcare"/>
    <x v="2"/>
    <n v="28"/>
    <n v="339.11"/>
    <s v="Social Media"/>
    <s v="North America"/>
    <d v="2023-12-30T00:00:00"/>
    <x v="0"/>
    <n v="1"/>
    <d v="2024-10-10T00:00:00"/>
    <x v="7"/>
    <n v="5"/>
    <n v="1"/>
    <n v="13"/>
    <s v="No"/>
  </r>
  <r>
    <x v="59"/>
    <x v="0"/>
    <x v="0"/>
    <s v="Finance"/>
    <x v="0"/>
    <n v="59"/>
    <n v="766.3"/>
    <s v="Partner"/>
    <s v="Asia Pacific"/>
    <d v="2024-07-30T00:00:00"/>
    <x v="0"/>
    <n v="1"/>
    <d v="2024-09-07T00:00:00"/>
    <x v="3"/>
    <n v="12"/>
    <n v="1"/>
    <n v="45"/>
    <s v="No"/>
  </r>
  <r>
    <x v="60"/>
    <x v="2"/>
    <x v="0"/>
    <s v="Legal"/>
    <x v="0"/>
    <n v="53"/>
    <n v="1751.2"/>
    <s v="Referral"/>
    <s v="Europe"/>
    <d v="2022-03-25T00:00:00"/>
    <x v="0"/>
    <n v="1"/>
    <d v="2023-04-06T00:00:00"/>
    <x v="3"/>
    <n v="13"/>
    <n v="5"/>
    <n v="11"/>
    <s v="No"/>
  </r>
  <r>
    <x v="61"/>
    <x v="0"/>
    <x v="0"/>
    <s v="Finance"/>
    <x v="2"/>
    <n v="21"/>
    <n v="316"/>
    <s v="Paid Ads"/>
    <s v="North America"/>
    <d v="2022-10-01T00:00:00"/>
    <x v="0"/>
    <n v="1"/>
    <d v="2024-04-13T00:00:00"/>
    <x v="3"/>
    <n v="1"/>
    <n v="3"/>
    <n v="16"/>
    <s v="No"/>
  </r>
  <r>
    <x v="62"/>
    <x v="3"/>
    <x v="1"/>
    <s v="Retail"/>
    <x v="2"/>
    <n v="18"/>
    <n v="1505.73"/>
    <s v="Organic Search"/>
    <s v="North America"/>
    <d v="2025-08-21T00:00:00"/>
    <x v="1"/>
    <n v="0"/>
    <m/>
    <x v="1"/>
    <n v="3"/>
    <n v="7"/>
    <n v="61"/>
    <s v="No"/>
  </r>
  <r>
    <x v="63"/>
    <x v="0"/>
    <x v="1"/>
    <s v="Retail"/>
    <x v="0"/>
    <n v="51"/>
    <n v="570.77"/>
    <s v="Direct Sales"/>
    <s v="Asia Pacific"/>
    <d v="2022-10-02T00:00:00"/>
    <x v="1"/>
    <n v="0"/>
    <m/>
    <x v="1"/>
    <n v="1"/>
    <n v="10"/>
    <n v="33"/>
    <s v="No"/>
  </r>
  <r>
    <x v="64"/>
    <x v="1"/>
    <x v="0"/>
    <s v="Manufacturing"/>
    <x v="4"/>
    <n v="60"/>
    <n v="285.64999999999998"/>
    <s v="Direct Sales"/>
    <s v="North America"/>
    <d v="2022-11-12T00:00:00"/>
    <x v="0"/>
    <n v="1"/>
    <d v="2022-11-20T00:00:00"/>
    <x v="2"/>
    <n v="13"/>
    <n v="3"/>
    <n v="46"/>
    <s v="No"/>
  </r>
  <r>
    <x v="65"/>
    <x v="1"/>
    <x v="1"/>
    <s v="Education"/>
    <x v="0"/>
    <n v="55"/>
    <n v="224.31"/>
    <s v="Organic Search"/>
    <s v="North America"/>
    <d v="2024-06-28T00:00:00"/>
    <x v="0"/>
    <n v="1"/>
    <d v="2024-07-21T00:00:00"/>
    <x v="2"/>
    <n v="12"/>
    <n v="1"/>
    <n v="12"/>
    <s v="No"/>
  </r>
  <r>
    <x v="66"/>
    <x v="2"/>
    <x v="1"/>
    <s v="Media"/>
    <x v="3"/>
    <n v="7"/>
    <n v="321.38"/>
    <s v="Paid Ads"/>
    <s v="North America"/>
    <d v="2023-09-28T00:00:00"/>
    <x v="1"/>
    <n v="0"/>
    <m/>
    <x v="1"/>
    <n v="4"/>
    <n v="8"/>
    <n v="30"/>
    <s v="No"/>
  </r>
  <r>
    <x v="67"/>
    <x v="0"/>
    <x v="1"/>
    <s v="Education"/>
    <x v="3"/>
    <n v="1"/>
    <n v="67.150000000000006"/>
    <s v="Referral"/>
    <s v="Asia Pacific"/>
    <d v="2025-12-02T00:00:00"/>
    <x v="1"/>
    <n v="0"/>
    <m/>
    <x v="1"/>
    <n v="7"/>
    <n v="3"/>
    <n v="29"/>
    <s v="No"/>
  </r>
  <r>
    <x v="68"/>
    <x v="1"/>
    <x v="1"/>
    <s v="Media"/>
    <x v="3"/>
    <n v="2"/>
    <n v="28.35"/>
    <s v="Organic Search"/>
    <s v="Europe"/>
    <d v="2023-07-30T00:00:00"/>
    <x v="0"/>
    <n v="1"/>
    <d v="2024-09-17T00:00:00"/>
    <x v="7"/>
    <n v="1"/>
    <n v="2"/>
    <n v="25"/>
    <s v="No"/>
  </r>
  <r>
    <x v="69"/>
    <x v="2"/>
    <x v="0"/>
    <s v="Technology"/>
    <x v="0"/>
    <n v="64"/>
    <n v="2079.5500000000002"/>
    <s v="Organic Search"/>
    <s v="North America"/>
    <d v="2022-08-25T00:00:00"/>
    <x v="0"/>
    <n v="1"/>
    <d v="2022-08-27T00:00:00"/>
    <x v="6"/>
    <n v="3"/>
    <n v="1"/>
    <n v="28"/>
    <s v="No"/>
  </r>
  <r>
    <x v="70"/>
    <x v="3"/>
    <x v="0"/>
    <s v="Retail"/>
    <x v="4"/>
    <n v="58"/>
    <n v="4765.45"/>
    <s v="Organic Search"/>
    <s v="Europe"/>
    <d v="2022-01-22T00:00:00"/>
    <x v="1"/>
    <n v="0"/>
    <m/>
    <x v="1"/>
    <n v="4"/>
    <n v="10"/>
    <n v="42"/>
    <s v="No"/>
  </r>
  <r>
    <x v="71"/>
    <x v="1"/>
    <x v="0"/>
    <s v="Consulting"/>
    <x v="0"/>
    <n v="31"/>
    <n v="159.5"/>
    <s v="Organic Search"/>
    <s v="North America"/>
    <d v="2024-06-21T00:00:00"/>
    <x v="1"/>
    <n v="0"/>
    <m/>
    <x v="1"/>
    <n v="7"/>
    <n v="10"/>
    <n v="81"/>
    <s v="No"/>
  </r>
  <r>
    <x v="72"/>
    <x v="0"/>
    <x v="0"/>
    <s v="Healthcare"/>
    <x v="4"/>
    <n v="106"/>
    <n v="1323.25"/>
    <s v="Referral"/>
    <s v="North America"/>
    <d v="2025-05-20T00:00:00"/>
    <x v="1"/>
    <n v="0"/>
    <m/>
    <x v="1"/>
    <n v="7"/>
    <n v="2"/>
    <n v="87"/>
    <s v="Yes"/>
  </r>
  <r>
    <x v="73"/>
    <x v="1"/>
    <x v="0"/>
    <s v="Legal"/>
    <x v="0"/>
    <n v="42"/>
    <n v="207.35"/>
    <s v="Paid Ads"/>
    <s v="North America"/>
    <d v="2023-12-14T00:00:00"/>
    <x v="0"/>
    <n v="1"/>
    <d v="2024-12-03T00:00:00"/>
    <x v="5"/>
    <n v="12"/>
    <n v="3"/>
    <n v="10"/>
    <s v="No"/>
  </r>
  <r>
    <x v="74"/>
    <x v="0"/>
    <x v="0"/>
    <s v="Retail"/>
    <x v="3"/>
    <n v="6"/>
    <n v="138.25"/>
    <s v="Paid Ads"/>
    <s v="North America"/>
    <d v="2022-12-30T00:00:00"/>
    <x v="1"/>
    <n v="0"/>
    <m/>
    <x v="1"/>
    <n v="5"/>
    <n v="1"/>
    <n v="49"/>
    <s v="No"/>
  </r>
  <r>
    <x v="75"/>
    <x v="0"/>
    <x v="1"/>
    <s v="Healthcare"/>
    <x v="4"/>
    <n v="56"/>
    <n v="621.14"/>
    <s v="Referral"/>
    <s v="Europe"/>
    <d v="2024-03-03T00:00:00"/>
    <x v="1"/>
    <n v="0"/>
    <m/>
    <x v="1"/>
    <n v="2"/>
    <n v="5"/>
    <n v="87"/>
    <s v="No"/>
  </r>
  <r>
    <x v="76"/>
    <x v="3"/>
    <x v="0"/>
    <s v="Media"/>
    <x v="0"/>
    <n v="52"/>
    <n v="4316.3500000000004"/>
    <s v="Partner"/>
    <s v="Europe"/>
    <d v="2023-05-01T00:00:00"/>
    <x v="1"/>
    <n v="0"/>
    <m/>
    <x v="1"/>
    <n v="4"/>
    <n v="7"/>
    <n v="88"/>
    <s v="No"/>
  </r>
  <r>
    <x v="77"/>
    <x v="1"/>
    <x v="1"/>
    <s v="Media"/>
    <x v="0"/>
    <n v="24"/>
    <n v="109.69"/>
    <s v="Partner"/>
    <s v="Europe"/>
    <d v="2023-02-21T00:00:00"/>
    <x v="0"/>
    <n v="1"/>
    <d v="2025-09-09T00:00:00"/>
    <x v="4"/>
    <n v="2"/>
    <n v="4"/>
    <n v="16"/>
    <s v="No"/>
  </r>
  <r>
    <x v="78"/>
    <x v="2"/>
    <x v="0"/>
    <s v="Healthcare"/>
    <x v="0"/>
    <n v="40"/>
    <n v="1363.15"/>
    <s v="Social Media"/>
    <s v="North America"/>
    <d v="2024-01-06T00:00:00"/>
    <x v="1"/>
    <n v="0"/>
    <m/>
    <x v="1"/>
    <n v="0"/>
    <n v="4"/>
    <n v="29"/>
    <s v="No"/>
  </r>
  <r>
    <x v="79"/>
    <x v="1"/>
    <x v="0"/>
    <s v="Healthcare"/>
    <x v="2"/>
    <n v="5"/>
    <n v="46.4"/>
    <s v="Organic Search"/>
    <s v="Asia Pacific"/>
    <d v="2025-03-05T00:00:00"/>
    <x v="0"/>
    <n v="1"/>
    <d v="2025-04-06T00:00:00"/>
    <x v="6"/>
    <n v="0"/>
    <n v="6"/>
    <n v="20"/>
    <s v="No"/>
  </r>
  <r>
    <x v="80"/>
    <x v="2"/>
    <x v="1"/>
    <s v="Finance"/>
    <x v="2"/>
    <n v="24"/>
    <n v="752.72"/>
    <s v="Organic Search"/>
    <s v="Asia Pacific"/>
    <d v="2024-01-17T00:00:00"/>
    <x v="1"/>
    <n v="0"/>
    <m/>
    <x v="1"/>
    <n v="2"/>
    <n v="6"/>
    <n v="86"/>
    <s v="No"/>
  </r>
  <r>
    <x v="81"/>
    <x v="1"/>
    <x v="1"/>
    <s v="Technology"/>
    <x v="3"/>
    <n v="1"/>
    <n v="24.65"/>
    <s v="Social Media"/>
    <s v="Europe"/>
    <d v="2024-06-19T00:00:00"/>
    <x v="0"/>
    <n v="1"/>
    <d v="2025-06-04T00:00:00"/>
    <x v="4"/>
    <n v="14"/>
    <n v="2"/>
    <n v="22"/>
    <s v="No"/>
  </r>
  <r>
    <x v="82"/>
    <x v="0"/>
    <x v="0"/>
    <s v="Education"/>
    <x v="3"/>
    <n v="5"/>
    <n v="126.4"/>
    <s v="Paid Ads"/>
    <s v="Asia Pacific"/>
    <d v="2025-09-12T00:00:00"/>
    <x v="1"/>
    <n v="0"/>
    <m/>
    <x v="1"/>
    <n v="6"/>
    <n v="9"/>
    <n v="56"/>
    <s v="No"/>
  </r>
  <r>
    <x v="83"/>
    <x v="2"/>
    <x v="0"/>
    <s v="Real Estate"/>
    <x v="4"/>
    <n v="71"/>
    <n v="2288.5"/>
    <s v="Referral"/>
    <s v="Europe"/>
    <d v="2023-01-21T00:00:00"/>
    <x v="0"/>
    <n v="1"/>
    <d v="2024-01-17T00:00:00"/>
    <x v="7"/>
    <n v="6"/>
    <n v="5"/>
    <n v="29"/>
    <s v="No"/>
  </r>
  <r>
    <x v="84"/>
    <x v="1"/>
    <x v="0"/>
    <s v="Real Estate"/>
    <x v="2"/>
    <n v="21"/>
    <n v="116"/>
    <s v="Partner"/>
    <s v="Latin America"/>
    <d v="2025-01-04T00:00:00"/>
    <x v="0"/>
    <n v="1"/>
    <d v="2025-03-14T00:00:00"/>
    <x v="5"/>
    <n v="13"/>
    <n v="2"/>
    <n v="42"/>
    <s v="No"/>
  </r>
  <r>
    <x v="85"/>
    <x v="2"/>
    <x v="0"/>
    <s v="Technology"/>
    <x v="2"/>
    <n v="27"/>
    <n v="975.1"/>
    <s v="Partner"/>
    <s v="Europe"/>
    <d v="2024-07-06T00:00:00"/>
    <x v="1"/>
    <n v="0"/>
    <m/>
    <x v="1"/>
    <n v="9"/>
    <n v="7"/>
    <n v="35"/>
    <s v="No"/>
  </r>
  <r>
    <x v="86"/>
    <x v="0"/>
    <x v="1"/>
    <s v="Education"/>
    <x v="0"/>
    <n v="17"/>
    <n v="228.31"/>
    <s v="Direct Sales"/>
    <s v="Europe"/>
    <d v="2024-05-09T00:00:00"/>
    <x v="1"/>
    <n v="0"/>
    <m/>
    <x v="1"/>
    <n v="2"/>
    <n v="4"/>
    <n v="88"/>
    <s v="No"/>
  </r>
  <r>
    <x v="87"/>
    <x v="1"/>
    <x v="0"/>
    <s v="Consulting"/>
    <x v="0"/>
    <n v="76"/>
    <n v="355.25"/>
    <s v="Referral"/>
    <s v="Asia Pacific"/>
    <d v="2024-12-15T00:00:00"/>
    <x v="0"/>
    <n v="1"/>
    <d v="2025-05-29T00:00:00"/>
    <x v="4"/>
    <n v="7"/>
    <n v="3"/>
    <n v="20"/>
    <s v="No"/>
  </r>
  <r>
    <x v="88"/>
    <x v="0"/>
    <x v="1"/>
    <s v="Healthcare"/>
    <x v="4"/>
    <n v="75"/>
    <n v="812.51"/>
    <s v="Organic Search"/>
    <s v="Asia Pacific"/>
    <d v="2022-11-21T00:00:00"/>
    <x v="0"/>
    <n v="1"/>
    <d v="2023-10-01T00:00:00"/>
    <x v="2"/>
    <n v="12"/>
    <n v="6"/>
    <n v="20"/>
    <s v="No"/>
  </r>
  <r>
    <x v="89"/>
    <x v="2"/>
    <x v="1"/>
    <s v="Healthcare"/>
    <x v="0"/>
    <n v="67"/>
    <n v="1843.73"/>
    <s v="Paid Ads"/>
    <s v="Europe"/>
    <d v="2022-03-28T00:00:00"/>
    <x v="0"/>
    <n v="1"/>
    <d v="2022-11-20T00:00:00"/>
    <x v="3"/>
    <n v="7"/>
    <n v="1"/>
    <n v="36"/>
    <s v="No"/>
  </r>
  <r>
    <x v="90"/>
    <x v="3"/>
    <x v="1"/>
    <s v="Media"/>
    <x v="2"/>
    <n v="20"/>
    <n v="1632.98"/>
    <s v="Referral"/>
    <s v="North America"/>
    <d v="2024-10-31T00:00:00"/>
    <x v="0"/>
    <n v="1"/>
    <d v="2025-02-22T00:00:00"/>
    <x v="5"/>
    <n v="13"/>
    <n v="2"/>
    <n v="42"/>
    <s v="No"/>
  </r>
  <r>
    <x v="91"/>
    <x v="1"/>
    <x v="0"/>
    <s v="Consulting"/>
    <x v="3"/>
    <n v="5"/>
    <n v="46.4"/>
    <s v="Partner"/>
    <s v="Asia Pacific"/>
    <d v="2025-03-16T00:00:00"/>
    <x v="1"/>
    <n v="0"/>
    <m/>
    <x v="1"/>
    <n v="7"/>
    <n v="7"/>
    <n v="41"/>
    <s v="No"/>
  </r>
  <r>
    <x v="92"/>
    <x v="1"/>
    <x v="0"/>
    <s v="Manufacturing"/>
    <x v="3"/>
    <n v="7"/>
    <n v="55.1"/>
    <s v="Direct Sales"/>
    <s v="North America"/>
    <d v="2025-10-30T00:00:00"/>
    <x v="1"/>
    <n v="0"/>
    <m/>
    <x v="1"/>
    <n v="2"/>
    <n v="10"/>
    <n v="63"/>
    <s v="No"/>
  </r>
  <r>
    <x v="93"/>
    <x v="2"/>
    <x v="0"/>
    <s v="Education"/>
    <x v="1"/>
    <n v="234"/>
    <n v="7154.05"/>
    <s v="Partner"/>
    <s v="North America"/>
    <d v="2022-07-29T00:00:00"/>
    <x v="0"/>
    <n v="1"/>
    <d v="2025-09-30T00:00:00"/>
    <x v="2"/>
    <n v="4"/>
    <n v="6"/>
    <n v="14"/>
    <s v="No"/>
  </r>
  <r>
    <x v="94"/>
    <x v="0"/>
    <x v="0"/>
    <s v="Finance"/>
    <x v="2"/>
    <n v="14"/>
    <n v="233.05"/>
    <s v="Paid Ads"/>
    <s v="North America"/>
    <d v="2022-10-25T00:00:00"/>
    <x v="0"/>
    <n v="1"/>
    <d v="2023-04-09T00:00:00"/>
    <x v="4"/>
    <n v="5"/>
    <n v="6"/>
    <n v="11"/>
    <s v="No"/>
  </r>
  <r>
    <x v="95"/>
    <x v="1"/>
    <x v="0"/>
    <s v="Legal"/>
    <x v="2"/>
    <n v="15"/>
    <n v="89.9"/>
    <s v="Direct Sales"/>
    <s v="North America"/>
    <d v="2023-08-31T00:00:00"/>
    <x v="0"/>
    <n v="1"/>
    <d v="2023-09-26T00:00:00"/>
    <x v="0"/>
    <n v="12"/>
    <n v="1"/>
    <n v="12"/>
    <s v="No"/>
  </r>
  <r>
    <x v="96"/>
    <x v="3"/>
    <x v="0"/>
    <s v="Education"/>
    <x v="0"/>
    <n v="31"/>
    <n v="2744.5"/>
    <s v="Organic Search"/>
    <s v="North America"/>
    <d v="2023-10-16T00:00:00"/>
    <x v="1"/>
    <n v="0"/>
    <m/>
    <x v="1"/>
    <n v="1"/>
    <n v="1"/>
    <n v="22"/>
    <s v="No"/>
  </r>
  <r>
    <x v="97"/>
    <x v="0"/>
    <x v="1"/>
    <s v="Consulting"/>
    <x v="3"/>
    <n v="8"/>
    <n v="137.66"/>
    <s v="Organic Search"/>
    <s v="North America"/>
    <d v="2025-11-28T00:00:00"/>
    <x v="0"/>
    <n v="1"/>
    <d v="2025-12-14T00:00:00"/>
    <x v="5"/>
    <n v="10"/>
    <n v="6"/>
    <n v="43"/>
    <s v="No"/>
  </r>
  <r>
    <x v="98"/>
    <x v="3"/>
    <x v="0"/>
    <s v="Manufacturing"/>
    <x v="2"/>
    <n v="6"/>
    <n v="873.25"/>
    <s v="Organic Search"/>
    <s v="Asia Pacific"/>
    <d v="2022-08-19T00:00:00"/>
    <x v="1"/>
    <n v="0"/>
    <m/>
    <x v="1"/>
    <n v="3"/>
    <n v="4"/>
    <n v="70"/>
    <s v="No"/>
  </r>
  <r>
    <x v="99"/>
    <x v="2"/>
    <x v="0"/>
    <s v="Real Estate"/>
    <x v="2"/>
    <n v="17"/>
    <n v="676.6"/>
    <s v="Paid Ads"/>
    <s v="Europe"/>
    <d v="2023-06-11T00:00:00"/>
    <x v="1"/>
    <n v="0"/>
    <m/>
    <x v="1"/>
    <n v="1"/>
    <n v="4"/>
    <n v="17"/>
    <s v="No"/>
  </r>
  <r>
    <x v="100"/>
    <x v="1"/>
    <x v="0"/>
    <s v="Legal"/>
    <x v="3"/>
    <n v="2"/>
    <n v="33.35"/>
    <s v="Organic Search"/>
    <s v="North America"/>
    <d v="2024-12-03T00:00:00"/>
    <x v="0"/>
    <n v="1"/>
    <d v="2025-01-28T00:00:00"/>
    <x v="5"/>
    <n v="6"/>
    <n v="3"/>
    <n v="15"/>
    <s v="No"/>
  </r>
  <r>
    <x v="101"/>
    <x v="0"/>
    <x v="0"/>
    <s v="Consulting"/>
    <x v="1"/>
    <n v="62"/>
    <n v="801.85"/>
    <s v="Referral"/>
    <s v="Latin America"/>
    <d v="2023-11-03T00:00:00"/>
    <x v="1"/>
    <n v="0"/>
    <m/>
    <x v="1"/>
    <n v="11"/>
    <n v="7"/>
    <n v="88"/>
    <s v="No"/>
  </r>
  <r>
    <x v="102"/>
    <x v="0"/>
    <x v="0"/>
    <s v="Consulting"/>
    <x v="3"/>
    <n v="4"/>
    <n v="114.55"/>
    <s v="Social Media"/>
    <s v="Europe"/>
    <d v="2024-04-24T00:00:00"/>
    <x v="1"/>
    <n v="0"/>
    <m/>
    <x v="1"/>
    <n v="0"/>
    <n v="6"/>
    <n v="32"/>
    <s v="No"/>
  </r>
  <r>
    <x v="103"/>
    <x v="2"/>
    <x v="0"/>
    <s v="Education"/>
    <x v="2"/>
    <n v="17"/>
    <n v="676.6"/>
    <s v="Organic Search"/>
    <s v="Europe"/>
    <d v="2024-11-30T00:00:00"/>
    <x v="0"/>
    <n v="1"/>
    <d v="2025-05-31T00:00:00"/>
    <x v="4"/>
    <n v="12"/>
    <n v="1"/>
    <n v="30"/>
    <s v="No"/>
  </r>
  <r>
    <x v="104"/>
    <x v="0"/>
    <x v="0"/>
    <s v="Manufacturing"/>
    <x v="4"/>
    <n v="42"/>
    <n v="564.85"/>
    <s v="Paid Ads"/>
    <s v="Latin America"/>
    <d v="2023-12-21T00:00:00"/>
    <x v="1"/>
    <n v="0"/>
    <m/>
    <x v="1"/>
    <n v="6"/>
    <n v="5"/>
    <n v="53"/>
    <s v="Yes"/>
  </r>
  <r>
    <x v="105"/>
    <x v="1"/>
    <x v="0"/>
    <s v="Retail"/>
    <x v="3"/>
    <n v="1"/>
    <n v="29"/>
    <s v="Referral"/>
    <s v="Asia Pacific"/>
    <d v="2024-11-18T00:00:00"/>
    <x v="0"/>
    <n v="1"/>
    <d v="2025-02-24T00:00:00"/>
    <x v="2"/>
    <n v="4"/>
    <n v="3"/>
    <n v="20"/>
    <s v="No"/>
  </r>
  <r>
    <x v="106"/>
    <x v="2"/>
    <x v="0"/>
    <s v="Legal"/>
    <x v="1"/>
    <n v="139"/>
    <n v="4318.3"/>
    <s v="Referral"/>
    <s v="Europe"/>
    <d v="2022-08-18T00:00:00"/>
    <x v="0"/>
    <n v="1"/>
    <d v="2024-05-09T00:00:00"/>
    <x v="6"/>
    <n v="11"/>
    <n v="2"/>
    <n v="24"/>
    <s v="No"/>
  </r>
  <r>
    <x v="107"/>
    <x v="2"/>
    <x v="1"/>
    <s v="Consulting"/>
    <x v="0"/>
    <n v="30"/>
    <n v="904.95"/>
    <s v="Organic Search"/>
    <s v="North America"/>
    <d v="2025-08-16T00:00:00"/>
    <x v="1"/>
    <n v="0"/>
    <m/>
    <x v="1"/>
    <n v="11"/>
    <n v="5"/>
    <n v="48"/>
    <s v="No"/>
  </r>
  <r>
    <x v="108"/>
    <x v="2"/>
    <x v="1"/>
    <s v="Finance"/>
    <x v="0"/>
    <n v="16"/>
    <n v="549.74"/>
    <s v="Organic Search"/>
    <s v="Asia Pacific"/>
    <d v="2022-11-03T00:00:00"/>
    <x v="1"/>
    <n v="0"/>
    <m/>
    <x v="1"/>
    <n v="0"/>
    <n v="9"/>
    <n v="57"/>
    <s v="No"/>
  </r>
  <r>
    <x v="109"/>
    <x v="0"/>
    <x v="1"/>
    <s v="Retail"/>
    <x v="4"/>
    <n v="58"/>
    <n v="641.28"/>
    <s v="Referral"/>
    <s v="Europe"/>
    <d v="2023-10-02T00:00:00"/>
    <x v="0"/>
    <n v="1"/>
    <d v="2025-05-01T00:00:00"/>
    <x v="7"/>
    <n v="12"/>
    <n v="3"/>
    <n v="38"/>
    <s v="No"/>
  </r>
  <r>
    <x v="110"/>
    <x v="1"/>
    <x v="1"/>
    <s v="Consulting"/>
    <x v="2"/>
    <n v="5"/>
    <n v="39.44"/>
    <s v="Partner"/>
    <s v="Europe"/>
    <d v="2022-12-22T00:00:00"/>
    <x v="0"/>
    <n v="1"/>
    <d v="2023-11-12T00:00:00"/>
    <x v="3"/>
    <n v="15"/>
    <n v="5"/>
    <n v="29"/>
    <s v="No"/>
  </r>
  <r>
    <x v="111"/>
    <x v="0"/>
    <x v="0"/>
    <s v="Finance"/>
    <x v="4"/>
    <n v="42"/>
    <n v="564.85"/>
    <s v="Direct Sales"/>
    <s v="North America"/>
    <d v="2022-01-27T00:00:00"/>
    <x v="0"/>
    <n v="1"/>
    <d v="2022-05-07T00:00:00"/>
    <x v="4"/>
    <n v="7"/>
    <n v="2"/>
    <n v="40"/>
    <s v="No"/>
  </r>
  <r>
    <x v="112"/>
    <x v="2"/>
    <x v="0"/>
    <s v="Consulting"/>
    <x v="2"/>
    <n v="20"/>
    <n v="766.15"/>
    <s v="Referral"/>
    <s v="North America"/>
    <d v="2023-06-10T00:00:00"/>
    <x v="0"/>
    <n v="1"/>
    <d v="2023-10-31T00:00:00"/>
    <x v="5"/>
    <n v="3"/>
    <n v="4"/>
    <n v="22"/>
    <s v="No"/>
  </r>
  <r>
    <x v="113"/>
    <x v="1"/>
    <x v="0"/>
    <s v="Technology"/>
    <x v="1"/>
    <n v="235"/>
    <n v="1046.9000000000001"/>
    <s v="Referral"/>
    <s v="Asia Pacific"/>
    <d v="2022-06-06T00:00:00"/>
    <x v="0"/>
    <n v="1"/>
    <d v="2022-06-19T00:00:00"/>
    <x v="5"/>
    <n v="11"/>
    <n v="1"/>
    <n v="23"/>
    <s v="No"/>
  </r>
  <r>
    <x v="114"/>
    <x v="1"/>
    <x v="1"/>
    <s v="Legal"/>
    <x v="4"/>
    <n v="31"/>
    <n v="135.57"/>
    <s v="Organic Search"/>
    <s v="Latin America"/>
    <d v="2024-08-28T00:00:00"/>
    <x v="1"/>
    <n v="0"/>
    <m/>
    <x v="1"/>
    <n v="0"/>
    <n v="5"/>
    <n v="75"/>
    <s v="No"/>
  </r>
  <r>
    <x v="115"/>
    <x v="0"/>
    <x v="0"/>
    <s v="Technology"/>
    <x v="0"/>
    <n v="16"/>
    <n v="256.75"/>
    <s v="Organic Search"/>
    <s v="North America"/>
    <d v="2025-09-03T00:00:00"/>
    <x v="1"/>
    <n v="0"/>
    <m/>
    <x v="1"/>
    <n v="0"/>
    <n v="2"/>
    <n v="25"/>
    <s v="No"/>
  </r>
  <r>
    <x v="116"/>
    <x v="0"/>
    <x v="1"/>
    <s v="Media"/>
    <x v="0"/>
    <n v="25"/>
    <n v="308.89"/>
    <s v="Paid Ads"/>
    <s v="Asia Pacific"/>
    <d v="2024-03-13T00:00:00"/>
    <x v="0"/>
    <n v="1"/>
    <d v="2025-06-14T00:00:00"/>
    <x v="4"/>
    <n v="0"/>
    <n v="2"/>
    <n v="28"/>
    <s v="No"/>
  </r>
  <r>
    <x v="117"/>
    <x v="0"/>
    <x v="0"/>
    <s v="Manufacturing"/>
    <x v="2"/>
    <n v="17"/>
    <n v="268.60000000000002"/>
    <s v="Partner"/>
    <s v="Europe"/>
    <d v="2024-12-31T00:00:00"/>
    <x v="0"/>
    <n v="1"/>
    <d v="2025-03-14T00:00:00"/>
    <x v="6"/>
    <n v="0"/>
    <n v="5"/>
    <n v="25"/>
    <s v="No"/>
  </r>
  <r>
    <x v="118"/>
    <x v="0"/>
    <x v="0"/>
    <s v="Education"/>
    <x v="2"/>
    <n v="28"/>
    <n v="398.95"/>
    <s v="Organic Search"/>
    <s v="North America"/>
    <d v="2022-11-01T00:00:00"/>
    <x v="1"/>
    <n v="0"/>
    <m/>
    <x v="1"/>
    <n v="9"/>
    <n v="8"/>
    <n v="44"/>
    <s v="No"/>
  </r>
  <r>
    <x v="119"/>
    <x v="0"/>
    <x v="1"/>
    <s v="Finance"/>
    <x v="3"/>
    <n v="2"/>
    <n v="77.22"/>
    <s v="Partner"/>
    <s v="North America"/>
    <d v="2022-03-26T00:00:00"/>
    <x v="1"/>
    <n v="0"/>
    <m/>
    <x v="1"/>
    <n v="3"/>
    <n v="4"/>
    <n v="22"/>
    <s v="No"/>
  </r>
  <r>
    <x v="120"/>
    <x v="1"/>
    <x v="1"/>
    <s v="Media"/>
    <x v="2"/>
    <n v="32"/>
    <n v="139.27000000000001"/>
    <s v="Organic Search"/>
    <s v="North America"/>
    <d v="2025-07-18T00:00:00"/>
    <x v="1"/>
    <n v="0"/>
    <m/>
    <x v="1"/>
    <n v="6"/>
    <n v="2"/>
    <n v="81"/>
    <s v="No"/>
  </r>
  <r>
    <x v="121"/>
    <x v="2"/>
    <x v="0"/>
    <s v="Manufacturing"/>
    <x v="0"/>
    <n v="72"/>
    <n v="2318.35"/>
    <s v="Paid Ads"/>
    <s v="North America"/>
    <d v="2024-07-07T00:00:00"/>
    <x v="1"/>
    <n v="0"/>
    <m/>
    <x v="1"/>
    <n v="4"/>
    <n v="7"/>
    <n v="50"/>
    <s v="Yes"/>
  </r>
  <r>
    <x v="122"/>
    <x v="1"/>
    <x v="1"/>
    <s v="Healthcare"/>
    <x v="0"/>
    <n v="26"/>
    <n v="117.09"/>
    <s v="Organic Search"/>
    <s v="Asia Pacific"/>
    <d v="2024-07-13T00:00:00"/>
    <x v="1"/>
    <n v="0"/>
    <m/>
    <x v="1"/>
    <n v="4"/>
    <n v="4"/>
    <n v="48"/>
    <s v="No"/>
  </r>
  <r>
    <x v="123"/>
    <x v="0"/>
    <x v="0"/>
    <s v="Legal"/>
    <x v="0"/>
    <n v="71"/>
    <n v="908.5"/>
    <s v="Referral"/>
    <s v="North America"/>
    <d v="2022-12-15T00:00:00"/>
    <x v="1"/>
    <n v="0"/>
    <m/>
    <x v="1"/>
    <n v="2"/>
    <n v="5"/>
    <n v="31"/>
    <s v="No"/>
  </r>
  <r>
    <x v="124"/>
    <x v="2"/>
    <x v="1"/>
    <s v="Legal"/>
    <x v="3"/>
    <n v="4"/>
    <n v="245.27"/>
    <s v="Paid Ads"/>
    <s v="Europe"/>
    <d v="2025-03-12T00:00:00"/>
    <x v="1"/>
    <n v="0"/>
    <m/>
    <x v="1"/>
    <n v="11"/>
    <n v="6"/>
    <n v="36"/>
    <s v="Yes"/>
  </r>
  <r>
    <x v="125"/>
    <x v="0"/>
    <x v="0"/>
    <s v="Healthcare"/>
    <x v="2"/>
    <n v="20"/>
    <n v="304.14999999999998"/>
    <s v="Organic Search"/>
    <s v="North America"/>
    <d v="2023-06-14T00:00:00"/>
    <x v="1"/>
    <n v="0"/>
    <m/>
    <x v="1"/>
    <n v="1"/>
    <n v="5"/>
    <n v="40"/>
    <s v="Yes"/>
  </r>
  <r>
    <x v="126"/>
    <x v="1"/>
    <x v="0"/>
    <s v="Consulting"/>
    <x v="2"/>
    <n v="27"/>
    <n v="142.1"/>
    <s v="Paid Ads"/>
    <s v="North America"/>
    <d v="2024-12-10T00:00:00"/>
    <x v="0"/>
    <n v="1"/>
    <d v="2025-01-15T00:00:00"/>
    <x v="5"/>
    <n v="3"/>
    <n v="3"/>
    <n v="38"/>
    <s v="No"/>
  </r>
  <r>
    <x v="127"/>
    <x v="1"/>
    <x v="0"/>
    <s v="Retail"/>
    <x v="4"/>
    <n v="46"/>
    <n v="224.75"/>
    <s v="Paid Ads"/>
    <s v="Asia Pacific"/>
    <d v="2022-12-30T00:00:00"/>
    <x v="0"/>
    <n v="1"/>
    <d v="2023-04-24T00:00:00"/>
    <x v="6"/>
    <n v="10"/>
    <n v="2"/>
    <n v="33"/>
    <s v="No"/>
  </r>
  <r>
    <x v="128"/>
    <x v="1"/>
    <x v="0"/>
    <s v="Finance"/>
    <x v="0"/>
    <n v="31"/>
    <n v="159.5"/>
    <s v="Referral"/>
    <s v="North America"/>
    <d v="2022-08-24T00:00:00"/>
    <x v="0"/>
    <n v="1"/>
    <d v="2022-09-27T00:00:00"/>
    <x v="7"/>
    <n v="10"/>
    <n v="4"/>
    <n v="22"/>
    <s v="No"/>
  </r>
  <r>
    <x v="129"/>
    <x v="0"/>
    <x v="0"/>
    <s v="Manufacturing"/>
    <x v="3"/>
    <n v="8"/>
    <n v="161.94999999999999"/>
    <s v="Organic Search"/>
    <s v="Latin America"/>
    <d v="2025-07-04T00:00:00"/>
    <x v="1"/>
    <n v="0"/>
    <m/>
    <x v="1"/>
    <n v="6"/>
    <n v="1"/>
    <n v="68"/>
    <s v="No"/>
  </r>
  <r>
    <x v="130"/>
    <x v="2"/>
    <x v="1"/>
    <s v="Legal"/>
    <x v="2"/>
    <n v="6"/>
    <n v="296.01"/>
    <s v="Partner"/>
    <s v="Latin America"/>
    <d v="2025-01-02T00:00:00"/>
    <x v="1"/>
    <n v="0"/>
    <m/>
    <x v="1"/>
    <n v="11"/>
    <n v="9"/>
    <n v="36"/>
    <s v="No"/>
  </r>
  <r>
    <x v="131"/>
    <x v="1"/>
    <x v="1"/>
    <s v="Consulting"/>
    <x v="3"/>
    <n v="8"/>
    <n v="50.53"/>
    <s v="Social Media"/>
    <s v="North America"/>
    <d v="2025-10-20T00:00:00"/>
    <x v="1"/>
    <n v="0"/>
    <m/>
    <x v="1"/>
    <n v="7"/>
    <n v="3"/>
    <n v="90"/>
    <s v="No"/>
  </r>
  <r>
    <x v="132"/>
    <x v="3"/>
    <x v="0"/>
    <s v="Consulting"/>
    <x v="3"/>
    <n v="1"/>
    <n v="499"/>
    <s v="Referral"/>
    <s v="North America"/>
    <d v="2025-03-11T00:00:00"/>
    <x v="1"/>
    <n v="0"/>
    <m/>
    <x v="1"/>
    <n v="7"/>
    <n v="8"/>
    <n v="22"/>
    <s v="No"/>
  </r>
  <r>
    <x v="133"/>
    <x v="2"/>
    <x v="1"/>
    <s v="Manufacturing"/>
    <x v="0"/>
    <n v="71"/>
    <n v="1945.22"/>
    <s v="Referral"/>
    <s v="Latin America"/>
    <d v="2022-02-15T00:00:00"/>
    <x v="0"/>
    <n v="1"/>
    <d v="2025-07-10T00:00:00"/>
    <x v="7"/>
    <n v="11"/>
    <n v="5"/>
    <n v="31"/>
    <s v="No"/>
  </r>
  <r>
    <x v="134"/>
    <x v="0"/>
    <x v="0"/>
    <s v="Retail"/>
    <x v="2"/>
    <n v="25"/>
    <n v="363.4"/>
    <s v="Paid Ads"/>
    <s v="Asia Pacific"/>
    <d v="2022-08-16T00:00:00"/>
    <x v="1"/>
    <n v="0"/>
    <m/>
    <x v="1"/>
    <n v="5"/>
    <n v="9"/>
    <n v="85"/>
    <s v="No"/>
  </r>
  <r>
    <x v="135"/>
    <x v="0"/>
    <x v="1"/>
    <s v="Technology"/>
    <x v="1"/>
    <n v="106"/>
    <n v="1124.76"/>
    <s v="Partner"/>
    <s v="North America"/>
    <d v="2022-03-06T00:00:00"/>
    <x v="1"/>
    <n v="0"/>
    <m/>
    <x v="1"/>
    <n v="4"/>
    <n v="4"/>
    <n v="87"/>
    <s v="No"/>
  </r>
  <r>
    <x v="136"/>
    <x v="1"/>
    <x v="1"/>
    <s v="Real Estate"/>
    <x v="2"/>
    <n v="9"/>
    <n v="54.23"/>
    <s v="Organic Search"/>
    <s v="North America"/>
    <d v="2023-05-07T00:00:00"/>
    <x v="0"/>
    <n v="1"/>
    <d v="2024-02-16T00:00:00"/>
    <x v="2"/>
    <n v="4"/>
    <n v="2"/>
    <n v="41"/>
    <s v="No"/>
  </r>
  <r>
    <x v="137"/>
    <x v="1"/>
    <x v="0"/>
    <s v="Healthcare"/>
    <x v="2"/>
    <n v="21"/>
    <n v="116"/>
    <s v="Direct Sales"/>
    <s v="Europe"/>
    <d v="2022-08-01T00:00:00"/>
    <x v="0"/>
    <n v="1"/>
    <d v="2022-09-08T00:00:00"/>
    <x v="0"/>
    <n v="1"/>
    <n v="3"/>
    <n v="19"/>
    <s v="No"/>
  </r>
  <r>
    <x v="138"/>
    <x v="1"/>
    <x v="0"/>
    <s v="Finance"/>
    <x v="2"/>
    <n v="5"/>
    <n v="46.4"/>
    <s v="Referral"/>
    <s v="North America"/>
    <d v="2025-01-06T00:00:00"/>
    <x v="0"/>
    <n v="1"/>
    <d v="2025-12-19T00:00:00"/>
    <x v="4"/>
    <n v="7"/>
    <n v="3"/>
    <n v="22"/>
    <s v="No"/>
  </r>
  <r>
    <x v="139"/>
    <x v="1"/>
    <x v="0"/>
    <s v="Retail"/>
    <x v="4"/>
    <n v="131"/>
    <n v="594.5"/>
    <s v="Partner"/>
    <s v="North America"/>
    <d v="2022-02-21T00:00:00"/>
    <x v="0"/>
    <n v="1"/>
    <d v="2022-07-22T00:00:00"/>
    <x v="5"/>
    <n v="9"/>
    <n v="3"/>
    <n v="16"/>
    <s v="No"/>
  </r>
  <r>
    <x v="140"/>
    <x v="2"/>
    <x v="1"/>
    <s v="Legal"/>
    <x v="0"/>
    <n v="18"/>
    <n v="600.48"/>
    <s v="Paid Ads"/>
    <s v="North America"/>
    <d v="2024-03-17T00:00:00"/>
    <x v="1"/>
    <n v="0"/>
    <m/>
    <x v="1"/>
    <n v="8"/>
    <n v="4"/>
    <n v="33"/>
    <s v="No"/>
  </r>
  <r>
    <x v="141"/>
    <x v="1"/>
    <x v="1"/>
    <s v="Education"/>
    <x v="0"/>
    <n v="28"/>
    <n v="124.48"/>
    <s v="Social Media"/>
    <s v="North America"/>
    <d v="2024-08-30T00:00:00"/>
    <x v="1"/>
    <n v="0"/>
    <m/>
    <x v="1"/>
    <n v="8"/>
    <n v="3"/>
    <n v="32"/>
    <s v="No"/>
  </r>
  <r>
    <x v="142"/>
    <x v="2"/>
    <x v="1"/>
    <s v="Finance"/>
    <x v="3"/>
    <n v="7"/>
    <n v="321.38"/>
    <s v="Organic Search"/>
    <s v="North America"/>
    <d v="2025-09-28T00:00:00"/>
    <x v="1"/>
    <n v="0"/>
    <m/>
    <x v="1"/>
    <n v="12"/>
    <n v="1"/>
    <n v="43"/>
    <s v="No"/>
  </r>
  <r>
    <x v="143"/>
    <x v="1"/>
    <x v="0"/>
    <s v="Real Estate"/>
    <x v="3"/>
    <n v="6"/>
    <n v="50.75"/>
    <s v="Organic Search"/>
    <s v="North America"/>
    <d v="2023-04-02T00:00:00"/>
    <x v="0"/>
    <n v="1"/>
    <d v="2023-07-22T00:00:00"/>
    <x v="7"/>
    <n v="3"/>
    <n v="1"/>
    <n v="44"/>
    <s v="No"/>
  </r>
  <r>
    <x v="144"/>
    <x v="0"/>
    <x v="1"/>
    <s v="Finance"/>
    <x v="2"/>
    <n v="8"/>
    <n v="137.66"/>
    <s v="Direct Sales"/>
    <s v="North America"/>
    <d v="2023-12-17T00:00:00"/>
    <x v="0"/>
    <n v="1"/>
    <d v="2024-11-17T00:00:00"/>
    <x v="2"/>
    <n v="3"/>
    <n v="3"/>
    <n v="30"/>
    <s v="No"/>
  </r>
  <r>
    <x v="145"/>
    <x v="3"/>
    <x v="0"/>
    <s v="Legal"/>
    <x v="2"/>
    <n v="15"/>
    <n v="1546.9"/>
    <s v="Organic Search"/>
    <s v="North America"/>
    <d v="2022-06-27T00:00:00"/>
    <x v="1"/>
    <n v="0"/>
    <m/>
    <x v="1"/>
    <n v="1"/>
    <n v="5"/>
    <n v="61"/>
    <s v="No"/>
  </r>
  <r>
    <x v="146"/>
    <x v="1"/>
    <x v="1"/>
    <s v="Manufacturing"/>
    <x v="3"/>
    <n v="6"/>
    <n v="43.14"/>
    <s v="Paid Ads"/>
    <s v="North America"/>
    <d v="2023-10-05T00:00:00"/>
    <x v="0"/>
    <n v="1"/>
    <d v="2023-11-21T00:00:00"/>
    <x v="0"/>
    <n v="5"/>
    <n v="3"/>
    <n v="15"/>
    <s v="No"/>
  </r>
  <r>
    <x v="147"/>
    <x v="3"/>
    <x v="0"/>
    <s v="Media"/>
    <x v="0"/>
    <n v="73"/>
    <n v="5888.2"/>
    <s v="Organic Search"/>
    <s v="Europe"/>
    <d v="2025-02-26T00:00:00"/>
    <x v="1"/>
    <n v="0"/>
    <m/>
    <x v="1"/>
    <n v="5"/>
    <n v="2"/>
    <n v="54"/>
    <s v="No"/>
  </r>
  <r>
    <x v="148"/>
    <x v="0"/>
    <x v="0"/>
    <s v="Manufacturing"/>
    <x v="3"/>
    <n v="1"/>
    <n v="79"/>
    <s v="Direct Sales"/>
    <s v="North America"/>
    <d v="2025-07-28T00:00:00"/>
    <x v="1"/>
    <n v="0"/>
    <m/>
    <x v="1"/>
    <n v="11"/>
    <n v="6"/>
    <n v="74"/>
    <s v="No"/>
  </r>
  <r>
    <x v="149"/>
    <x v="0"/>
    <x v="0"/>
    <s v="Manufacturing"/>
    <x v="2"/>
    <n v="26"/>
    <n v="375.25"/>
    <s v="Organic Search"/>
    <s v="Latin America"/>
    <d v="2023-07-02T00:00:00"/>
    <x v="0"/>
    <n v="1"/>
    <d v="2024-02-24T00:00:00"/>
    <x v="0"/>
    <n v="13"/>
    <n v="1"/>
    <n v="29"/>
    <s v="No"/>
  </r>
  <r>
    <x v="150"/>
    <x v="1"/>
    <x v="0"/>
    <s v="Retail"/>
    <x v="3"/>
    <n v="5"/>
    <n v="46.4"/>
    <s v="Social Media"/>
    <s v="North America"/>
    <d v="2024-05-26T00:00:00"/>
    <x v="0"/>
    <n v="1"/>
    <d v="2024-12-06T00:00:00"/>
    <x v="6"/>
    <n v="7"/>
    <n v="5"/>
    <n v="15"/>
    <s v="No"/>
  </r>
  <r>
    <x v="151"/>
    <x v="2"/>
    <x v="1"/>
    <s v="Retail"/>
    <x v="1"/>
    <n v="199"/>
    <n v="5192.8999999999996"/>
    <s v="Partner"/>
    <s v="North America"/>
    <d v="2023-06-09T00:00:00"/>
    <x v="0"/>
    <n v="1"/>
    <d v="2024-08-22T00:00:00"/>
    <x v="2"/>
    <n v="4"/>
    <n v="5"/>
    <n v="36"/>
    <s v="No"/>
  </r>
  <r>
    <x v="152"/>
    <x v="1"/>
    <x v="0"/>
    <s v="Retail"/>
    <x v="3"/>
    <n v="6"/>
    <n v="50.75"/>
    <s v="Partner"/>
    <s v="North America"/>
    <d v="2025-05-09T00:00:00"/>
    <x v="0"/>
    <n v="1"/>
    <d v="2025-11-30T00:00:00"/>
    <x v="4"/>
    <n v="8"/>
    <n v="4"/>
    <n v="18"/>
    <s v="No"/>
  </r>
  <r>
    <x v="153"/>
    <x v="0"/>
    <x v="1"/>
    <s v="Legal"/>
    <x v="3"/>
    <n v="1"/>
    <n v="67.150000000000006"/>
    <s v="Partner"/>
    <s v="Europe"/>
    <d v="2024-08-11T00:00:00"/>
    <x v="0"/>
    <n v="1"/>
    <d v="2025-02-26T00:00:00"/>
    <x v="2"/>
    <n v="1"/>
    <n v="5"/>
    <n v="14"/>
    <s v="No"/>
  </r>
  <r>
    <x v="154"/>
    <x v="1"/>
    <x v="0"/>
    <s v="Consulting"/>
    <x v="1"/>
    <n v="230"/>
    <n v="1025.1500000000001"/>
    <s v="Referral"/>
    <s v="Asia Pacific"/>
    <d v="2022-10-14T00:00:00"/>
    <x v="0"/>
    <n v="1"/>
    <d v="2024-04-03T00:00:00"/>
    <x v="0"/>
    <n v="6"/>
    <n v="2"/>
    <n v="35"/>
    <s v="No"/>
  </r>
  <r>
    <x v="155"/>
    <x v="2"/>
    <x v="0"/>
    <s v="Healthcare"/>
    <x v="2"/>
    <n v="7"/>
    <n v="378.1"/>
    <s v="Organic Search"/>
    <s v="North America"/>
    <d v="2024-09-20T00:00:00"/>
    <x v="1"/>
    <n v="0"/>
    <m/>
    <x v="1"/>
    <n v="4"/>
    <n v="5"/>
    <n v="83"/>
    <s v="No"/>
  </r>
  <r>
    <x v="156"/>
    <x v="0"/>
    <x v="1"/>
    <s v="Education"/>
    <x v="3"/>
    <n v="5"/>
    <n v="107.44"/>
    <s v="Direct Sales"/>
    <s v="Europe"/>
    <d v="2023-08-06T00:00:00"/>
    <x v="1"/>
    <n v="0"/>
    <m/>
    <x v="1"/>
    <n v="9"/>
    <n v="2"/>
    <n v="80"/>
    <s v="No"/>
  </r>
  <r>
    <x v="157"/>
    <x v="3"/>
    <x v="0"/>
    <s v="Technology"/>
    <x v="2"/>
    <n v="20"/>
    <n v="1921.15"/>
    <s v="Organic Search"/>
    <s v="Latin America"/>
    <d v="2023-04-18T00:00:00"/>
    <x v="1"/>
    <n v="0"/>
    <m/>
    <x v="1"/>
    <n v="6"/>
    <n v="2"/>
    <n v="35"/>
    <s v="No"/>
  </r>
  <r>
    <x v="158"/>
    <x v="1"/>
    <x v="1"/>
    <s v="Manufacturing"/>
    <x v="0"/>
    <n v="66"/>
    <n v="264.99"/>
    <s v="Referral"/>
    <s v="Asia Pacific"/>
    <d v="2025-10-25T00:00:00"/>
    <x v="1"/>
    <n v="0"/>
    <m/>
    <x v="1"/>
    <n v="8"/>
    <n v="8"/>
    <n v="30"/>
    <s v="No"/>
  </r>
  <r>
    <x v="159"/>
    <x v="0"/>
    <x v="1"/>
    <s v="Legal"/>
    <x v="0"/>
    <n v="71"/>
    <n v="772.22"/>
    <s v="Organic Search"/>
    <s v="Asia Pacific"/>
    <d v="2025-01-07T00:00:00"/>
    <x v="1"/>
    <n v="0"/>
    <m/>
    <x v="1"/>
    <n v="9"/>
    <n v="5"/>
    <n v="93"/>
    <s v="No"/>
  </r>
  <r>
    <x v="160"/>
    <x v="2"/>
    <x v="1"/>
    <s v="Education"/>
    <x v="3"/>
    <n v="4"/>
    <n v="245.27"/>
    <s v="Partner"/>
    <s v="Europe"/>
    <d v="2024-12-11T00:00:00"/>
    <x v="0"/>
    <n v="1"/>
    <d v="2025-04-19T00:00:00"/>
    <x v="0"/>
    <n v="0"/>
    <n v="6"/>
    <n v="28"/>
    <s v="No"/>
  </r>
  <r>
    <x v="161"/>
    <x v="1"/>
    <x v="0"/>
    <s v="Finance"/>
    <x v="1"/>
    <n v="150"/>
    <n v="677.15"/>
    <s v="Paid Ads"/>
    <s v="Europe"/>
    <d v="2022-08-09T00:00:00"/>
    <x v="0"/>
    <n v="1"/>
    <d v="2023-11-26T00:00:00"/>
    <x v="4"/>
    <n v="0"/>
    <n v="3"/>
    <n v="44"/>
    <s v="No"/>
  </r>
  <r>
    <x v="162"/>
    <x v="1"/>
    <x v="1"/>
    <s v="Manufacturing"/>
    <x v="3"/>
    <n v="2"/>
    <n v="28.35"/>
    <s v="Paid Ads"/>
    <s v="Asia Pacific"/>
    <d v="2025-01-28T00:00:00"/>
    <x v="1"/>
    <n v="0"/>
    <m/>
    <x v="1"/>
    <n v="3"/>
    <n v="8"/>
    <n v="20"/>
    <s v="No"/>
  </r>
  <r>
    <x v="163"/>
    <x v="1"/>
    <x v="1"/>
    <s v="Healthcare"/>
    <x v="1"/>
    <n v="220"/>
    <n v="834.4"/>
    <s v="Organic Search"/>
    <s v="Europe"/>
    <d v="2023-08-19T00:00:00"/>
    <x v="0"/>
    <n v="1"/>
    <d v="2025-06-11T00:00:00"/>
    <x v="3"/>
    <n v="4"/>
    <n v="3"/>
    <n v="12"/>
    <s v="No"/>
  </r>
  <r>
    <x v="164"/>
    <x v="1"/>
    <x v="1"/>
    <s v="Real Estate"/>
    <x v="4"/>
    <n v="34"/>
    <n v="146.66999999999999"/>
    <s v="Organic Search"/>
    <s v="Asia Pacific"/>
    <d v="2024-07-15T00:00:00"/>
    <x v="1"/>
    <n v="0"/>
    <m/>
    <x v="1"/>
    <n v="12"/>
    <n v="5"/>
    <n v="60"/>
    <s v="No"/>
  </r>
  <r>
    <x v="165"/>
    <x v="1"/>
    <x v="0"/>
    <s v="Healthcare"/>
    <x v="3"/>
    <n v="1"/>
    <n v="29"/>
    <s v="Social Media"/>
    <s v="Europe"/>
    <d v="2023-09-18T00:00:00"/>
    <x v="0"/>
    <n v="1"/>
    <d v="2025-01-25T00:00:00"/>
    <x v="6"/>
    <n v="7"/>
    <n v="5"/>
    <n v="20"/>
    <s v="No"/>
  </r>
  <r>
    <x v="166"/>
    <x v="1"/>
    <x v="1"/>
    <s v="Legal"/>
    <x v="0"/>
    <n v="40"/>
    <n v="168.85"/>
    <s v="Organic Search"/>
    <s v="North America"/>
    <d v="2024-12-24T00:00:00"/>
    <x v="1"/>
    <n v="0"/>
    <m/>
    <x v="1"/>
    <n v="10"/>
    <n v="6"/>
    <n v="35"/>
    <s v="No"/>
  </r>
  <r>
    <x v="167"/>
    <x v="2"/>
    <x v="0"/>
    <s v="Legal"/>
    <x v="2"/>
    <n v="29"/>
    <n v="1034.8"/>
    <s v="Partner"/>
    <s v="Europe"/>
    <d v="2023-04-05T00:00:00"/>
    <x v="0"/>
    <n v="1"/>
    <d v="2023-04-29T00:00:00"/>
    <x v="6"/>
    <n v="12"/>
    <n v="6"/>
    <n v="45"/>
    <s v="No"/>
  </r>
  <r>
    <x v="168"/>
    <x v="2"/>
    <x v="1"/>
    <s v="Consulting"/>
    <x v="2"/>
    <n v="5"/>
    <n v="270.64"/>
    <s v="Paid Ads"/>
    <s v="North America"/>
    <d v="2023-12-06T00:00:00"/>
    <x v="1"/>
    <n v="0"/>
    <m/>
    <x v="1"/>
    <n v="0"/>
    <n v="1"/>
    <n v="55"/>
    <s v="Yes"/>
  </r>
  <r>
    <x v="169"/>
    <x v="2"/>
    <x v="0"/>
    <s v="Media"/>
    <x v="2"/>
    <n v="32"/>
    <n v="1124.3499999999999"/>
    <s v="Social Media"/>
    <s v="Asia Pacific"/>
    <d v="2024-10-17T00:00:00"/>
    <x v="1"/>
    <n v="0"/>
    <m/>
    <x v="1"/>
    <n v="1"/>
    <n v="1"/>
    <n v="91"/>
    <s v="No"/>
  </r>
  <r>
    <x v="170"/>
    <x v="1"/>
    <x v="0"/>
    <s v="Finance"/>
    <x v="3"/>
    <n v="7"/>
    <n v="55.1"/>
    <s v="Organic Search"/>
    <s v="Europe"/>
    <d v="2022-09-18T00:00:00"/>
    <x v="0"/>
    <n v="1"/>
    <d v="2023-07-31T00:00:00"/>
    <x v="4"/>
    <n v="3"/>
    <n v="2"/>
    <n v="24"/>
    <s v="No"/>
  </r>
  <r>
    <x v="171"/>
    <x v="2"/>
    <x v="0"/>
    <s v="Healthcare"/>
    <x v="3"/>
    <n v="5"/>
    <n v="318.39999999999998"/>
    <s v="Referral"/>
    <s v="North America"/>
    <d v="2022-07-10T00:00:00"/>
    <x v="0"/>
    <n v="1"/>
    <d v="2024-05-08T00:00:00"/>
    <x v="6"/>
    <n v="14"/>
    <n v="3"/>
    <n v="38"/>
    <s v="No"/>
  </r>
  <r>
    <x v="172"/>
    <x v="0"/>
    <x v="1"/>
    <s v="Media"/>
    <x v="3"/>
    <n v="6"/>
    <n v="117.51"/>
    <s v="Social Media"/>
    <s v="Asia Pacific"/>
    <d v="2024-09-14T00:00:00"/>
    <x v="1"/>
    <n v="0"/>
    <m/>
    <x v="1"/>
    <n v="12"/>
    <n v="9"/>
    <n v="38"/>
    <s v="No"/>
  </r>
  <r>
    <x v="173"/>
    <x v="3"/>
    <x v="1"/>
    <s v="Education"/>
    <x v="4"/>
    <n v="65"/>
    <n v="4495.99"/>
    <s v="Paid Ads"/>
    <s v="North America"/>
    <d v="2024-11-30T00:00:00"/>
    <x v="1"/>
    <n v="0"/>
    <m/>
    <x v="1"/>
    <n v="10"/>
    <n v="2"/>
    <n v="91"/>
    <s v="No"/>
  </r>
  <r>
    <x v="174"/>
    <x v="2"/>
    <x v="1"/>
    <s v="Consulting"/>
    <x v="0"/>
    <n v="50"/>
    <n v="1412.4"/>
    <s v="Direct Sales"/>
    <s v="North America"/>
    <d v="2022-10-11T00:00:00"/>
    <x v="1"/>
    <n v="0"/>
    <m/>
    <x v="1"/>
    <n v="12"/>
    <n v="8"/>
    <n v="26"/>
    <s v="No"/>
  </r>
  <r>
    <x v="175"/>
    <x v="1"/>
    <x v="0"/>
    <s v="Media"/>
    <x v="1"/>
    <n v="205"/>
    <n v="916.4"/>
    <s v="Social Media"/>
    <s v="North America"/>
    <d v="2023-08-06T00:00:00"/>
    <x v="0"/>
    <n v="1"/>
    <d v="2023-09-11T00:00:00"/>
    <x v="4"/>
    <n v="7"/>
    <n v="3"/>
    <n v="19"/>
    <s v="No"/>
  </r>
  <r>
    <x v="176"/>
    <x v="0"/>
    <x v="0"/>
    <s v="Technology"/>
    <x v="1"/>
    <n v="239"/>
    <n v="2899.3"/>
    <s v="Partner"/>
    <s v="Asia Pacific"/>
    <d v="2024-12-06T00:00:00"/>
    <x v="0"/>
    <n v="1"/>
    <d v="2025-11-09T00:00:00"/>
    <x v="2"/>
    <n v="4"/>
    <n v="6"/>
    <n v="14"/>
    <s v="No"/>
  </r>
  <r>
    <x v="177"/>
    <x v="0"/>
    <x v="1"/>
    <s v="Manufacturing"/>
    <x v="2"/>
    <n v="31"/>
    <n v="369.33"/>
    <s v="Direct Sales"/>
    <s v="Asia Pacific"/>
    <d v="2024-09-11T00:00:00"/>
    <x v="1"/>
    <n v="0"/>
    <m/>
    <x v="1"/>
    <n v="4"/>
    <n v="6"/>
    <n v="81"/>
    <s v="No"/>
  </r>
  <r>
    <x v="178"/>
    <x v="1"/>
    <x v="0"/>
    <s v="Consulting"/>
    <x v="0"/>
    <n v="67"/>
    <n v="316.10000000000002"/>
    <s v="Referral"/>
    <s v="Europe"/>
    <d v="2024-06-25T00:00:00"/>
    <x v="1"/>
    <n v="0"/>
    <m/>
    <x v="1"/>
    <n v="3"/>
    <n v="10"/>
    <n v="26"/>
    <s v="No"/>
  </r>
  <r>
    <x v="179"/>
    <x v="0"/>
    <x v="1"/>
    <s v="Real Estate"/>
    <x v="0"/>
    <n v="29"/>
    <n v="349.18"/>
    <s v="Referral"/>
    <s v="North America"/>
    <d v="2022-10-12T00:00:00"/>
    <x v="0"/>
    <n v="1"/>
    <d v="2025-03-25T00:00:00"/>
    <x v="4"/>
    <n v="2"/>
    <n v="5"/>
    <n v="42"/>
    <s v="No"/>
  </r>
  <r>
    <x v="180"/>
    <x v="0"/>
    <x v="0"/>
    <s v="Education"/>
    <x v="3"/>
    <n v="4"/>
    <n v="114.55"/>
    <s v="Paid Ads"/>
    <s v="North America"/>
    <d v="2024-02-08T00:00:00"/>
    <x v="0"/>
    <n v="1"/>
    <d v="2024-04-23T00:00:00"/>
    <x v="0"/>
    <n v="9"/>
    <n v="4"/>
    <n v="44"/>
    <s v="No"/>
  </r>
  <r>
    <x v="181"/>
    <x v="0"/>
    <x v="1"/>
    <s v="Real Estate"/>
    <x v="0"/>
    <n v="76"/>
    <n v="822.59"/>
    <s v="Partner"/>
    <s v="Europe"/>
    <d v="2024-05-02T00:00:00"/>
    <x v="1"/>
    <n v="0"/>
    <m/>
    <x v="1"/>
    <n v="9"/>
    <n v="6"/>
    <n v="37"/>
    <s v="No"/>
  </r>
  <r>
    <x v="182"/>
    <x v="1"/>
    <x v="1"/>
    <s v="Education"/>
    <x v="4"/>
    <n v="83"/>
    <n v="327.84"/>
    <s v="Partner"/>
    <s v="North America"/>
    <d v="2023-10-01T00:00:00"/>
    <x v="0"/>
    <n v="1"/>
    <d v="2025-01-06T00:00:00"/>
    <x v="4"/>
    <n v="8"/>
    <n v="4"/>
    <n v="26"/>
    <s v="No"/>
  </r>
  <r>
    <x v="183"/>
    <x v="1"/>
    <x v="0"/>
    <s v="Manufacturing"/>
    <x v="3"/>
    <n v="7"/>
    <n v="55.1"/>
    <s v="Partner"/>
    <s v="Europe"/>
    <d v="2024-11-20T00:00:00"/>
    <x v="1"/>
    <n v="0"/>
    <m/>
    <x v="1"/>
    <n v="8"/>
    <n v="2"/>
    <n v="63"/>
    <s v="No"/>
  </r>
  <r>
    <x v="184"/>
    <x v="0"/>
    <x v="1"/>
    <s v="Media"/>
    <x v="4"/>
    <n v="96"/>
    <n v="1024.04"/>
    <s v="Referral"/>
    <s v="North America"/>
    <d v="2025-11-17T00:00:00"/>
    <x v="1"/>
    <n v="0"/>
    <m/>
    <x v="1"/>
    <n v="3"/>
    <n v="8"/>
    <n v="48"/>
    <s v="No"/>
  </r>
  <r>
    <x v="185"/>
    <x v="2"/>
    <x v="0"/>
    <s v="Finance"/>
    <x v="3"/>
    <n v="6"/>
    <n v="348.25"/>
    <s v="Partner"/>
    <s v="Asia Pacific"/>
    <d v="2025-06-25T00:00:00"/>
    <x v="0"/>
    <n v="1"/>
    <d v="2025-11-28T00:00:00"/>
    <x v="4"/>
    <n v="3"/>
    <n v="2"/>
    <n v="17"/>
    <s v="No"/>
  </r>
  <r>
    <x v="186"/>
    <x v="0"/>
    <x v="0"/>
    <s v="Education"/>
    <x v="3"/>
    <n v="4"/>
    <n v="114.55"/>
    <s v="Paid Ads"/>
    <s v="Asia Pacific"/>
    <d v="2024-09-10T00:00:00"/>
    <x v="0"/>
    <n v="1"/>
    <d v="2024-11-30T00:00:00"/>
    <x v="0"/>
    <n v="9"/>
    <n v="3"/>
    <n v="24"/>
    <s v="No"/>
  </r>
  <r>
    <x v="187"/>
    <x v="2"/>
    <x v="0"/>
    <s v="Healthcare"/>
    <x v="2"/>
    <n v="28"/>
    <n v="1004.95"/>
    <s v="Referral"/>
    <s v="Asia Pacific"/>
    <d v="2022-08-11T00:00:00"/>
    <x v="0"/>
    <n v="1"/>
    <d v="2024-12-24T00:00:00"/>
    <x v="3"/>
    <n v="13"/>
    <n v="4"/>
    <n v="15"/>
    <s v="No"/>
  </r>
  <r>
    <x v="188"/>
    <x v="1"/>
    <x v="0"/>
    <s v="Consulting"/>
    <x v="4"/>
    <n v="141"/>
    <n v="638"/>
    <s v="Direct Sales"/>
    <s v="North America"/>
    <d v="2025-09-11T00:00:00"/>
    <x v="1"/>
    <n v="0"/>
    <m/>
    <x v="1"/>
    <n v="11"/>
    <n v="4"/>
    <n v="88"/>
    <s v="No"/>
  </r>
  <r>
    <x v="189"/>
    <x v="0"/>
    <x v="0"/>
    <s v="Consulting"/>
    <x v="0"/>
    <n v="70"/>
    <n v="896.65"/>
    <s v="Social Media"/>
    <s v="North America"/>
    <d v="2023-07-10T00:00:00"/>
    <x v="1"/>
    <n v="0"/>
    <m/>
    <x v="1"/>
    <n v="7"/>
    <n v="10"/>
    <n v="63"/>
    <s v="No"/>
  </r>
  <r>
    <x v="190"/>
    <x v="1"/>
    <x v="0"/>
    <s v="Media"/>
    <x v="2"/>
    <n v="30"/>
    <n v="155.15"/>
    <s v="Partner"/>
    <s v="North America"/>
    <d v="2022-12-21T00:00:00"/>
    <x v="0"/>
    <n v="1"/>
    <d v="2023-01-25T00:00:00"/>
    <x v="6"/>
    <n v="15"/>
    <n v="2"/>
    <n v="23"/>
    <s v="No"/>
  </r>
  <r>
    <x v="191"/>
    <x v="2"/>
    <x v="0"/>
    <s v="Real Estate"/>
    <x v="0"/>
    <n v="74"/>
    <n v="2378.0500000000002"/>
    <s v="Social Media"/>
    <s v="North America"/>
    <d v="2022-03-16T00:00:00"/>
    <x v="1"/>
    <n v="0"/>
    <m/>
    <x v="1"/>
    <n v="8"/>
    <n v="10"/>
    <n v="46"/>
    <s v="Yes"/>
  </r>
  <r>
    <x v="192"/>
    <x v="3"/>
    <x v="0"/>
    <s v="Retail"/>
    <x v="2"/>
    <n v="33"/>
    <n v="2894.2"/>
    <s v="Social Media"/>
    <s v="North America"/>
    <d v="2024-09-18T00:00:00"/>
    <x v="1"/>
    <n v="0"/>
    <m/>
    <x v="1"/>
    <n v="0"/>
    <n v="1"/>
    <n v="43"/>
    <s v="Yes"/>
  </r>
  <r>
    <x v="193"/>
    <x v="1"/>
    <x v="1"/>
    <s v="Finance"/>
    <x v="1"/>
    <n v="225"/>
    <n v="852.89"/>
    <s v="Referral"/>
    <s v="Europe"/>
    <d v="2023-02-27T00:00:00"/>
    <x v="1"/>
    <n v="0"/>
    <m/>
    <x v="1"/>
    <n v="6"/>
    <n v="9"/>
    <n v="50"/>
    <s v="Yes"/>
  </r>
  <r>
    <x v="194"/>
    <x v="1"/>
    <x v="1"/>
    <s v="Education"/>
    <x v="3"/>
    <n v="3"/>
    <n v="32.049999999999997"/>
    <s v="Paid Ads"/>
    <s v="North America"/>
    <d v="2023-10-21T00:00:00"/>
    <x v="0"/>
    <n v="1"/>
    <d v="2024-07-19T00:00:00"/>
    <x v="4"/>
    <n v="4"/>
    <n v="5"/>
    <n v="33"/>
    <s v="No"/>
  </r>
  <r>
    <x v="195"/>
    <x v="0"/>
    <x v="1"/>
    <s v="Media"/>
    <x v="2"/>
    <n v="20"/>
    <n v="258.52999999999997"/>
    <s v="Paid Ads"/>
    <s v="Europe"/>
    <d v="2025-03-06T00:00:00"/>
    <x v="1"/>
    <n v="0"/>
    <m/>
    <x v="1"/>
    <n v="6"/>
    <n v="7"/>
    <n v="95"/>
    <s v="No"/>
  </r>
  <r>
    <x v="196"/>
    <x v="3"/>
    <x v="0"/>
    <s v="Consulting"/>
    <x v="3"/>
    <n v="1"/>
    <n v="499"/>
    <s v="Organic Search"/>
    <s v="Asia Pacific"/>
    <d v="2022-03-25T00:00:00"/>
    <x v="1"/>
    <n v="0"/>
    <m/>
    <x v="1"/>
    <n v="8"/>
    <n v="7"/>
    <n v="32"/>
    <s v="No"/>
  </r>
  <r>
    <x v="197"/>
    <x v="1"/>
    <x v="0"/>
    <s v="Healthcare"/>
    <x v="0"/>
    <n v="21"/>
    <n v="116"/>
    <s v="Referral"/>
    <s v="Europe"/>
    <d v="2023-04-19T00:00:00"/>
    <x v="0"/>
    <n v="1"/>
    <d v="2025-01-15T00:00:00"/>
    <x v="7"/>
    <n v="0"/>
    <n v="1"/>
    <n v="15"/>
    <s v="No"/>
  </r>
  <r>
    <x v="198"/>
    <x v="0"/>
    <x v="1"/>
    <s v="Legal"/>
    <x v="3"/>
    <n v="4"/>
    <n v="97.37"/>
    <s v="Paid Ads"/>
    <s v="North America"/>
    <d v="2025-03-03T00:00:00"/>
    <x v="1"/>
    <n v="0"/>
    <m/>
    <x v="1"/>
    <n v="2"/>
    <n v="4"/>
    <n v="36"/>
    <s v="No"/>
  </r>
  <r>
    <x v="199"/>
    <x v="0"/>
    <x v="1"/>
    <s v="Education"/>
    <x v="4"/>
    <n v="35"/>
    <n v="409.62"/>
    <s v="Organic Search"/>
    <s v="North America"/>
    <d v="2022-10-24T00:00:00"/>
    <x v="0"/>
    <n v="1"/>
    <d v="2024-11-02T00:00:00"/>
    <x v="7"/>
    <n v="15"/>
    <n v="1"/>
    <n v="21"/>
    <s v="No"/>
  </r>
  <r>
    <x v="200"/>
    <x v="1"/>
    <x v="0"/>
    <s v="Media"/>
    <x v="2"/>
    <n v="13"/>
    <n v="81.2"/>
    <s v="Partner"/>
    <s v="Europe"/>
    <d v="2023-06-28T00:00:00"/>
    <x v="0"/>
    <n v="1"/>
    <d v="2024-10-13T00:00:00"/>
    <x v="4"/>
    <n v="15"/>
    <n v="1"/>
    <n v="44"/>
    <s v="No"/>
  </r>
  <r>
    <x v="201"/>
    <x v="1"/>
    <x v="0"/>
    <s v="Legal"/>
    <x v="2"/>
    <n v="30"/>
    <n v="155.15"/>
    <s v="Partner"/>
    <s v="Latin America"/>
    <d v="2023-10-06T00:00:00"/>
    <x v="0"/>
    <n v="1"/>
    <d v="2023-11-04T00:00:00"/>
    <x v="0"/>
    <n v="3"/>
    <n v="1"/>
    <n v="25"/>
    <s v="No"/>
  </r>
  <r>
    <x v="202"/>
    <x v="2"/>
    <x v="0"/>
    <s v="Consulting"/>
    <x v="3"/>
    <n v="8"/>
    <n v="407.95"/>
    <s v="Direct Sales"/>
    <s v="Latin America"/>
    <d v="2023-07-30T00:00:00"/>
    <x v="0"/>
    <n v="1"/>
    <d v="2025-04-06T00:00:00"/>
    <x v="4"/>
    <n v="1"/>
    <n v="5"/>
    <n v="12"/>
    <s v="No"/>
  </r>
  <r>
    <x v="203"/>
    <x v="1"/>
    <x v="0"/>
    <s v="Education"/>
    <x v="0"/>
    <n v="64"/>
    <n v="303.05"/>
    <s v="Partner"/>
    <s v="North America"/>
    <d v="2024-05-19T00:00:00"/>
    <x v="0"/>
    <n v="1"/>
    <d v="2024-07-20T00:00:00"/>
    <x v="2"/>
    <n v="11"/>
    <n v="1"/>
    <n v="49"/>
    <s v="No"/>
  </r>
  <r>
    <x v="204"/>
    <x v="2"/>
    <x v="1"/>
    <s v="Healthcare"/>
    <x v="0"/>
    <n v="67"/>
    <n v="1843.73"/>
    <s v="Organic Search"/>
    <s v="Europe"/>
    <d v="2023-12-17T00:00:00"/>
    <x v="1"/>
    <n v="0"/>
    <m/>
    <x v="1"/>
    <n v="12"/>
    <n v="1"/>
    <n v="85"/>
    <s v="Yes"/>
  </r>
  <r>
    <x v="205"/>
    <x v="1"/>
    <x v="0"/>
    <s v="Healthcare"/>
    <x v="4"/>
    <n v="72"/>
    <n v="337.85"/>
    <s v="Organic Search"/>
    <s v="Europe"/>
    <d v="2024-03-23T00:00:00"/>
    <x v="0"/>
    <n v="1"/>
    <d v="2024-07-02T00:00:00"/>
    <x v="3"/>
    <n v="5"/>
    <n v="6"/>
    <n v="33"/>
    <s v="No"/>
  </r>
  <r>
    <x v="206"/>
    <x v="2"/>
    <x v="0"/>
    <s v="Real Estate"/>
    <x v="3"/>
    <n v="1"/>
    <n v="199"/>
    <s v="Partner"/>
    <s v="North America"/>
    <d v="2023-04-02T00:00:00"/>
    <x v="0"/>
    <n v="1"/>
    <d v="2023-12-15T00:00:00"/>
    <x v="6"/>
    <n v="12"/>
    <n v="2"/>
    <n v="16"/>
    <s v="No"/>
  </r>
  <r>
    <x v="207"/>
    <x v="1"/>
    <x v="0"/>
    <s v="Consulting"/>
    <x v="2"/>
    <n v="5"/>
    <n v="46.4"/>
    <s v="Referral"/>
    <s v="North America"/>
    <d v="2025-01-19T00:00:00"/>
    <x v="0"/>
    <n v="1"/>
    <d v="2025-07-03T00:00:00"/>
    <x v="7"/>
    <n v="8"/>
    <n v="4"/>
    <n v="21"/>
    <s v="No"/>
  </r>
  <r>
    <x v="208"/>
    <x v="1"/>
    <x v="1"/>
    <s v="Healthcare"/>
    <x v="0"/>
    <n v="46"/>
    <n v="191.04"/>
    <s v="Social Media"/>
    <s v="Europe"/>
    <d v="2022-05-05T00:00:00"/>
    <x v="0"/>
    <n v="1"/>
    <d v="2022-07-30T00:00:00"/>
    <x v="5"/>
    <n v="2"/>
    <n v="1"/>
    <n v="13"/>
    <s v="No"/>
  </r>
  <r>
    <x v="209"/>
    <x v="3"/>
    <x v="0"/>
    <s v="Healthcare"/>
    <x v="0"/>
    <n v="72"/>
    <n v="5813.35"/>
    <s v="Social Media"/>
    <s v="North America"/>
    <d v="2022-09-22T00:00:00"/>
    <x v="0"/>
    <n v="1"/>
    <d v="2025-05-26T00:00:00"/>
    <x v="0"/>
    <n v="13"/>
    <n v="1"/>
    <n v="17"/>
    <s v="No"/>
  </r>
  <r>
    <x v="210"/>
    <x v="3"/>
    <x v="1"/>
    <s v="Education"/>
    <x v="4"/>
    <n v="48"/>
    <n v="3414.41"/>
    <s v="Paid Ads"/>
    <s v="North America"/>
    <d v="2025-06-30T00:00:00"/>
    <x v="1"/>
    <n v="0"/>
    <m/>
    <x v="1"/>
    <n v="12"/>
    <n v="2"/>
    <n v="23"/>
    <s v="No"/>
  </r>
  <r>
    <x v="211"/>
    <x v="2"/>
    <x v="1"/>
    <s v="Retail"/>
    <x v="3"/>
    <n v="1"/>
    <n v="169.15"/>
    <s v="Partner"/>
    <s v="North America"/>
    <d v="2024-01-08T00:00:00"/>
    <x v="1"/>
    <n v="0"/>
    <m/>
    <x v="1"/>
    <n v="1"/>
    <n v="6"/>
    <n v="60"/>
    <s v="No"/>
  </r>
  <r>
    <x v="212"/>
    <x v="2"/>
    <x v="1"/>
    <s v="Manufacturing"/>
    <x v="1"/>
    <n v="209"/>
    <n v="5446.63"/>
    <s v="Partner"/>
    <s v="North America"/>
    <d v="2023-05-20T00:00:00"/>
    <x v="1"/>
    <n v="0"/>
    <m/>
    <x v="1"/>
    <n v="4"/>
    <n v="2"/>
    <n v="31"/>
    <s v="No"/>
  </r>
  <r>
    <x v="213"/>
    <x v="1"/>
    <x v="0"/>
    <s v="Legal"/>
    <x v="2"/>
    <n v="17"/>
    <n v="98.6"/>
    <s v="Referral"/>
    <s v="North America"/>
    <d v="2024-09-23T00:00:00"/>
    <x v="0"/>
    <n v="1"/>
    <d v="2025-08-11T00:00:00"/>
    <x v="6"/>
    <n v="4"/>
    <n v="4"/>
    <n v="10"/>
    <s v="No"/>
  </r>
  <r>
    <x v="214"/>
    <x v="1"/>
    <x v="0"/>
    <s v="Consulting"/>
    <x v="2"/>
    <n v="21"/>
    <n v="116"/>
    <s v="Direct Sales"/>
    <s v="Asia Pacific"/>
    <d v="2025-01-09T00:00:00"/>
    <x v="0"/>
    <n v="1"/>
    <d v="2025-06-29T00:00:00"/>
    <x v="3"/>
    <n v="15"/>
    <n v="5"/>
    <n v="27"/>
    <s v="No"/>
  </r>
  <r>
    <x v="215"/>
    <x v="1"/>
    <x v="0"/>
    <s v="Finance"/>
    <x v="2"/>
    <n v="15"/>
    <n v="89.9"/>
    <s v="Organic Search"/>
    <s v="North America"/>
    <d v="2024-07-20T00:00:00"/>
    <x v="0"/>
    <n v="1"/>
    <d v="2024-09-16T00:00:00"/>
    <x v="2"/>
    <n v="11"/>
    <n v="4"/>
    <n v="20"/>
    <s v="No"/>
  </r>
  <r>
    <x v="216"/>
    <x v="0"/>
    <x v="0"/>
    <s v="Healthcare"/>
    <x v="0"/>
    <n v="46"/>
    <n v="612.25"/>
    <s v="Partner"/>
    <s v="North America"/>
    <d v="2024-04-05T00:00:00"/>
    <x v="1"/>
    <n v="0"/>
    <m/>
    <x v="1"/>
    <n v="3"/>
    <n v="7"/>
    <n v="39"/>
    <s v="No"/>
  </r>
  <r>
    <x v="217"/>
    <x v="1"/>
    <x v="0"/>
    <s v="Finance"/>
    <x v="0"/>
    <n v="22"/>
    <n v="120.35"/>
    <s v="Direct Sales"/>
    <s v="North America"/>
    <d v="2022-10-15T00:00:00"/>
    <x v="0"/>
    <n v="1"/>
    <d v="2024-01-25T00:00:00"/>
    <x v="5"/>
    <n v="3"/>
    <n v="3"/>
    <n v="27"/>
    <s v="No"/>
  </r>
  <r>
    <x v="218"/>
    <x v="1"/>
    <x v="1"/>
    <s v="Manufacturing"/>
    <x v="3"/>
    <n v="8"/>
    <n v="50.53"/>
    <s v="Organic Search"/>
    <s v="North America"/>
    <d v="2023-08-22T00:00:00"/>
    <x v="1"/>
    <n v="0"/>
    <m/>
    <x v="1"/>
    <n v="6"/>
    <n v="8"/>
    <n v="32"/>
    <s v="No"/>
  </r>
  <r>
    <x v="219"/>
    <x v="0"/>
    <x v="0"/>
    <s v="Education"/>
    <x v="3"/>
    <n v="1"/>
    <n v="79"/>
    <s v="Social Media"/>
    <s v="North America"/>
    <d v="2023-09-26T00:00:00"/>
    <x v="0"/>
    <n v="1"/>
    <d v="2025-05-11T00:00:00"/>
    <x v="0"/>
    <n v="9"/>
    <n v="5"/>
    <n v="44"/>
    <s v="No"/>
  </r>
  <r>
    <x v="220"/>
    <x v="2"/>
    <x v="1"/>
    <s v="Real Estate"/>
    <x v="3"/>
    <n v="3"/>
    <n v="219.9"/>
    <s v="Organic Search"/>
    <s v="North America"/>
    <d v="2025-06-28T00:00:00"/>
    <x v="1"/>
    <n v="0"/>
    <m/>
    <x v="1"/>
    <n v="7"/>
    <n v="8"/>
    <n v="43"/>
    <s v="No"/>
  </r>
  <r>
    <x v="221"/>
    <x v="0"/>
    <x v="0"/>
    <s v="Media"/>
    <x v="0"/>
    <n v="47"/>
    <n v="624.1"/>
    <s v="Referral"/>
    <s v="Europe"/>
    <d v="2024-10-03T00:00:00"/>
    <x v="1"/>
    <n v="0"/>
    <m/>
    <x v="1"/>
    <n v="6"/>
    <n v="8"/>
    <n v="63"/>
    <s v="Yes"/>
  </r>
  <r>
    <x v="222"/>
    <x v="1"/>
    <x v="0"/>
    <s v="Manufacturing"/>
    <x v="4"/>
    <n v="68"/>
    <n v="320.45"/>
    <s v="Paid Ads"/>
    <s v="North America"/>
    <d v="2025-04-01T00:00:00"/>
    <x v="0"/>
    <n v="1"/>
    <d v="2025-10-19T00:00:00"/>
    <x v="3"/>
    <n v="9"/>
    <n v="4"/>
    <n v="42"/>
    <s v="No"/>
  </r>
  <r>
    <x v="223"/>
    <x v="3"/>
    <x v="1"/>
    <s v="Healthcare"/>
    <x v="0"/>
    <n v="72"/>
    <n v="4941.3500000000004"/>
    <s v="Social Media"/>
    <s v="Latin America"/>
    <d v="2025-02-01T00:00:00"/>
    <x v="0"/>
    <n v="1"/>
    <d v="2025-02-13T00:00:00"/>
    <x v="7"/>
    <n v="0"/>
    <n v="1"/>
    <n v="11"/>
    <s v="No"/>
  </r>
  <r>
    <x v="224"/>
    <x v="0"/>
    <x v="1"/>
    <s v="Consulting"/>
    <x v="2"/>
    <n v="27"/>
    <n v="329.03"/>
    <s v="Organic Search"/>
    <s v="North America"/>
    <d v="2025-11-17T00:00:00"/>
    <x v="1"/>
    <n v="0"/>
    <m/>
    <x v="1"/>
    <n v="7"/>
    <n v="4"/>
    <n v="39"/>
    <s v="No"/>
  </r>
  <r>
    <x v="225"/>
    <x v="0"/>
    <x v="0"/>
    <s v="Retail"/>
    <x v="0"/>
    <n v="64"/>
    <n v="825.55"/>
    <s v="Organic Search"/>
    <s v="Europe"/>
    <d v="2025-04-18T00:00:00"/>
    <x v="1"/>
    <n v="0"/>
    <m/>
    <x v="1"/>
    <n v="10"/>
    <n v="4"/>
    <n v="87"/>
    <s v="No"/>
  </r>
  <r>
    <x v="226"/>
    <x v="1"/>
    <x v="0"/>
    <s v="Retail"/>
    <x v="3"/>
    <n v="6"/>
    <n v="50.75"/>
    <s v="Referral"/>
    <s v="Europe"/>
    <d v="2024-09-10T00:00:00"/>
    <x v="0"/>
    <n v="1"/>
    <d v="2024-10-27T00:00:00"/>
    <x v="7"/>
    <n v="5"/>
    <n v="3"/>
    <n v="39"/>
    <s v="No"/>
  </r>
  <r>
    <x v="227"/>
    <x v="1"/>
    <x v="1"/>
    <s v="Consulting"/>
    <x v="2"/>
    <n v="10"/>
    <n v="57.93"/>
    <s v="Organic Search"/>
    <s v="Europe"/>
    <d v="2024-01-12T00:00:00"/>
    <x v="1"/>
    <n v="0"/>
    <m/>
    <x v="1"/>
    <n v="8"/>
    <n v="6"/>
    <n v="46"/>
    <s v="Yes"/>
  </r>
  <r>
    <x v="228"/>
    <x v="3"/>
    <x v="0"/>
    <s v="Manufacturing"/>
    <x v="4"/>
    <n v="118"/>
    <n v="9256.4500000000007"/>
    <s v="Organic Search"/>
    <s v="Europe"/>
    <d v="2024-04-06T00:00:00"/>
    <x v="1"/>
    <n v="0"/>
    <m/>
    <x v="1"/>
    <n v="0"/>
    <n v="10"/>
    <n v="85"/>
    <s v="No"/>
  </r>
  <r>
    <x v="229"/>
    <x v="1"/>
    <x v="0"/>
    <s v="Finance"/>
    <x v="2"/>
    <n v="24"/>
    <n v="129.05000000000001"/>
    <s v="Referral"/>
    <s v="North America"/>
    <d v="2023-06-10T00:00:00"/>
    <x v="0"/>
    <n v="1"/>
    <d v="2023-10-22T00:00:00"/>
    <x v="3"/>
    <n v="13"/>
    <n v="1"/>
    <n v="31"/>
    <s v="No"/>
  </r>
  <r>
    <x v="230"/>
    <x v="1"/>
    <x v="0"/>
    <s v="Education"/>
    <x v="0"/>
    <n v="33"/>
    <n v="168.2"/>
    <s v="Direct Sales"/>
    <s v="North America"/>
    <d v="2023-11-16T00:00:00"/>
    <x v="1"/>
    <n v="0"/>
    <m/>
    <x v="1"/>
    <n v="4"/>
    <n v="9"/>
    <n v="52"/>
    <s v="No"/>
  </r>
  <r>
    <x v="231"/>
    <x v="0"/>
    <x v="0"/>
    <s v="Retail"/>
    <x v="0"/>
    <n v="44"/>
    <n v="588.54999999999995"/>
    <s v="Organic Search"/>
    <s v="Europe"/>
    <d v="2025-06-09T00:00:00"/>
    <x v="1"/>
    <n v="0"/>
    <m/>
    <x v="1"/>
    <n v="9"/>
    <n v="5"/>
    <n v="71"/>
    <s v="No"/>
  </r>
  <r>
    <x v="232"/>
    <x v="0"/>
    <x v="0"/>
    <s v="Real Estate"/>
    <x v="4"/>
    <n v="112"/>
    <n v="1394.35"/>
    <s v="Partner"/>
    <s v="North America"/>
    <d v="2025-02-07T00:00:00"/>
    <x v="1"/>
    <n v="0"/>
    <m/>
    <x v="1"/>
    <n v="0"/>
    <n v="8"/>
    <n v="17"/>
    <s v="No"/>
  </r>
  <r>
    <x v="233"/>
    <x v="2"/>
    <x v="0"/>
    <s v="Consulting"/>
    <x v="0"/>
    <n v="55"/>
    <n v="1810.9"/>
    <s v="Paid Ads"/>
    <s v="North America"/>
    <d v="2024-04-03T00:00:00"/>
    <x v="0"/>
    <n v="1"/>
    <d v="2024-12-04T00:00:00"/>
    <x v="2"/>
    <n v="2"/>
    <n v="2"/>
    <n v="15"/>
    <s v="No"/>
  </r>
  <r>
    <x v="234"/>
    <x v="2"/>
    <x v="1"/>
    <s v="Consulting"/>
    <x v="2"/>
    <n v="15"/>
    <n v="524.37"/>
    <s v="Paid Ads"/>
    <s v="North America"/>
    <d v="2024-05-09T00:00:00"/>
    <x v="1"/>
    <n v="0"/>
    <m/>
    <x v="1"/>
    <n v="6"/>
    <n v="9"/>
    <n v="23"/>
    <s v="Yes"/>
  </r>
  <r>
    <x v="235"/>
    <x v="1"/>
    <x v="0"/>
    <s v="Media"/>
    <x v="4"/>
    <n v="45"/>
    <n v="220.4"/>
    <s v="Paid Ads"/>
    <s v="Europe"/>
    <d v="2023-07-10T00:00:00"/>
    <x v="0"/>
    <n v="1"/>
    <d v="2023-07-12T00:00:00"/>
    <x v="5"/>
    <n v="7"/>
    <n v="3"/>
    <n v="49"/>
    <s v="No"/>
  </r>
  <r>
    <x v="236"/>
    <x v="0"/>
    <x v="0"/>
    <s v="Consulting"/>
    <x v="1"/>
    <n v="109"/>
    <n v="1358.8"/>
    <s v="Direct Sales"/>
    <s v="Europe"/>
    <d v="2022-08-15T00:00:00"/>
    <x v="1"/>
    <n v="0"/>
    <m/>
    <x v="1"/>
    <n v="0"/>
    <n v="3"/>
    <n v="30"/>
    <s v="No"/>
  </r>
  <r>
    <x v="237"/>
    <x v="2"/>
    <x v="0"/>
    <s v="Real Estate"/>
    <x v="0"/>
    <n v="29"/>
    <n v="1034.8"/>
    <s v="Referral"/>
    <s v="North America"/>
    <d v="2023-04-29T00:00:00"/>
    <x v="1"/>
    <n v="0"/>
    <m/>
    <x v="1"/>
    <n v="12"/>
    <n v="1"/>
    <n v="86"/>
    <s v="No"/>
  </r>
  <r>
    <x v="238"/>
    <x v="2"/>
    <x v="0"/>
    <s v="Media"/>
    <x v="2"/>
    <n v="34"/>
    <n v="1184.05"/>
    <s v="Partner"/>
    <s v="Latin America"/>
    <d v="2022-04-16T00:00:00"/>
    <x v="0"/>
    <n v="1"/>
    <d v="2023-07-02T00:00:00"/>
    <x v="7"/>
    <n v="8"/>
    <n v="3"/>
    <n v="24"/>
    <s v="No"/>
  </r>
  <r>
    <x v="239"/>
    <x v="1"/>
    <x v="1"/>
    <s v="Legal"/>
    <x v="3"/>
    <n v="4"/>
    <n v="35.74"/>
    <s v="Social Media"/>
    <s v="Asia Pacific"/>
    <d v="2025-02-15T00:00:00"/>
    <x v="1"/>
    <n v="0"/>
    <m/>
    <x v="1"/>
    <n v="6"/>
    <n v="2"/>
    <n v="23"/>
    <s v="No"/>
  </r>
  <r>
    <x v="240"/>
    <x v="1"/>
    <x v="0"/>
    <s v="Technology"/>
    <x v="0"/>
    <n v="66"/>
    <n v="311.75"/>
    <s v="Referral"/>
    <s v="Asia Pacific"/>
    <d v="2023-09-09T00:00:00"/>
    <x v="0"/>
    <n v="1"/>
    <d v="2023-10-29T00:00:00"/>
    <x v="4"/>
    <n v="1"/>
    <n v="4"/>
    <n v="15"/>
    <s v="No"/>
  </r>
  <r>
    <x v="241"/>
    <x v="2"/>
    <x v="1"/>
    <s v="Manufacturing"/>
    <x v="2"/>
    <n v="10"/>
    <n v="397.5"/>
    <s v="Paid Ads"/>
    <s v="Asia Pacific"/>
    <d v="2023-11-02T00:00:00"/>
    <x v="1"/>
    <n v="0"/>
    <m/>
    <x v="1"/>
    <n v="1"/>
    <n v="8"/>
    <n v="38"/>
    <s v="No"/>
  </r>
  <r>
    <x v="242"/>
    <x v="3"/>
    <x v="0"/>
    <s v="Retail"/>
    <x v="4"/>
    <n v="122"/>
    <n v="9555.85"/>
    <s v="Organic Search"/>
    <s v="North America"/>
    <d v="2024-10-07T00:00:00"/>
    <x v="1"/>
    <n v="0"/>
    <m/>
    <x v="1"/>
    <n v="4"/>
    <n v="7"/>
    <n v="94"/>
    <s v="Yes"/>
  </r>
  <r>
    <x v="243"/>
    <x v="1"/>
    <x v="0"/>
    <s v="Technology"/>
    <x v="0"/>
    <n v="23"/>
    <n v="124.7"/>
    <s v="Paid Ads"/>
    <s v="Europe"/>
    <d v="2025-04-21T00:00:00"/>
    <x v="0"/>
    <n v="1"/>
    <d v="2025-05-07T00:00:00"/>
    <x v="2"/>
    <n v="7"/>
    <n v="6"/>
    <n v="18"/>
    <s v="No"/>
  </r>
  <r>
    <x v="244"/>
    <x v="2"/>
    <x v="1"/>
    <s v="Manufacturing"/>
    <x v="3"/>
    <n v="1"/>
    <n v="169.15"/>
    <s v="Organic Search"/>
    <s v="North America"/>
    <d v="2025-11-28T00:00:00"/>
    <x v="1"/>
    <n v="0"/>
    <m/>
    <x v="1"/>
    <n v="5"/>
    <n v="3"/>
    <n v="39"/>
    <s v="No"/>
  </r>
  <r>
    <x v="245"/>
    <x v="0"/>
    <x v="0"/>
    <s v="Consulting"/>
    <x v="3"/>
    <n v="6"/>
    <n v="138.25"/>
    <s v="Referral"/>
    <s v="Europe"/>
    <d v="2024-04-15T00:00:00"/>
    <x v="0"/>
    <n v="1"/>
    <d v="2024-06-23T00:00:00"/>
    <x v="7"/>
    <n v="5"/>
    <n v="4"/>
    <n v="14"/>
    <s v="No"/>
  </r>
  <r>
    <x v="246"/>
    <x v="2"/>
    <x v="1"/>
    <s v="Media"/>
    <x v="1"/>
    <n v="251"/>
    <n v="6512.27"/>
    <s v="Social Media"/>
    <s v="Latin America"/>
    <d v="2025-11-07T00:00:00"/>
    <x v="1"/>
    <n v="0"/>
    <m/>
    <x v="1"/>
    <n v="10"/>
    <n v="6"/>
    <n v="38"/>
    <s v="No"/>
  </r>
  <r>
    <x v="247"/>
    <x v="1"/>
    <x v="1"/>
    <s v="Healthcare"/>
    <x v="4"/>
    <n v="111"/>
    <n v="431.37"/>
    <s v="Direct Sales"/>
    <s v="Europe"/>
    <d v="2024-03-22T00:00:00"/>
    <x v="0"/>
    <n v="1"/>
    <d v="2024-11-18T00:00:00"/>
    <x v="5"/>
    <n v="5"/>
    <n v="1"/>
    <n v="36"/>
    <s v="No"/>
  </r>
  <r>
    <x v="248"/>
    <x v="0"/>
    <x v="0"/>
    <s v="Finance"/>
    <x v="3"/>
    <n v="6"/>
    <n v="138.25"/>
    <s v="Direct Sales"/>
    <s v="North America"/>
    <d v="2025-04-18T00:00:00"/>
    <x v="0"/>
    <n v="1"/>
    <d v="2025-10-15T00:00:00"/>
    <x v="2"/>
    <n v="5"/>
    <n v="3"/>
    <n v="36"/>
    <s v="No"/>
  </r>
  <r>
    <x v="249"/>
    <x v="2"/>
    <x v="0"/>
    <s v="Education"/>
    <x v="3"/>
    <n v="1"/>
    <n v="199"/>
    <s v="Referral"/>
    <s v="North America"/>
    <d v="2025-10-14T00:00:00"/>
    <x v="1"/>
    <n v="0"/>
    <m/>
    <x v="1"/>
    <n v="1"/>
    <n v="10"/>
    <n v="69"/>
    <s v="No"/>
  </r>
  <r>
    <x v="250"/>
    <x v="1"/>
    <x v="1"/>
    <s v="Legal"/>
    <x v="2"/>
    <n v="31"/>
    <n v="135.57"/>
    <s v="Partner"/>
    <s v="Europe"/>
    <d v="2022-09-28T00:00:00"/>
    <x v="0"/>
    <n v="1"/>
    <d v="2025-01-12T00:00:00"/>
    <x v="0"/>
    <n v="0"/>
    <n v="6"/>
    <n v="40"/>
    <s v="No"/>
  </r>
  <r>
    <x v="251"/>
    <x v="2"/>
    <x v="1"/>
    <s v="Legal"/>
    <x v="2"/>
    <n v="19"/>
    <n v="625.86"/>
    <s v="Social Media"/>
    <s v="North America"/>
    <d v="2024-05-12T00:00:00"/>
    <x v="0"/>
    <n v="1"/>
    <d v="2025-10-19T00:00:00"/>
    <x v="2"/>
    <n v="15"/>
    <n v="2"/>
    <n v="47"/>
    <s v="No"/>
  </r>
  <r>
    <x v="252"/>
    <x v="0"/>
    <x v="0"/>
    <s v="Legal"/>
    <x v="2"/>
    <n v="32"/>
    <n v="446.35"/>
    <s v="Organic Search"/>
    <s v="North America"/>
    <d v="2022-11-29T00:00:00"/>
    <x v="0"/>
    <n v="1"/>
    <d v="2024-01-13T00:00:00"/>
    <x v="5"/>
    <n v="7"/>
    <n v="1"/>
    <n v="20"/>
    <s v="No"/>
  </r>
  <r>
    <x v="253"/>
    <x v="1"/>
    <x v="1"/>
    <s v="Media"/>
    <x v="2"/>
    <n v="12"/>
    <n v="65.319999999999993"/>
    <s v="Organic Search"/>
    <s v="Europe"/>
    <d v="2025-05-18T00:00:00"/>
    <x v="1"/>
    <n v="0"/>
    <m/>
    <x v="1"/>
    <n v="0"/>
    <n v="9"/>
    <n v="50"/>
    <s v="Yes"/>
  </r>
  <r>
    <x v="254"/>
    <x v="2"/>
    <x v="0"/>
    <s v="Real Estate"/>
    <x v="3"/>
    <n v="1"/>
    <n v="199"/>
    <s v="Organic Search"/>
    <s v="Europe"/>
    <d v="2022-03-25T00:00:00"/>
    <x v="0"/>
    <n v="1"/>
    <d v="2022-04-20T00:00:00"/>
    <x v="4"/>
    <n v="14"/>
    <n v="5"/>
    <n v="28"/>
    <s v="No"/>
  </r>
  <r>
    <x v="255"/>
    <x v="2"/>
    <x v="0"/>
    <s v="Education"/>
    <x v="2"/>
    <n v="7"/>
    <n v="378.1"/>
    <s v="Organic Search"/>
    <s v="North America"/>
    <d v="2023-03-07T00:00:00"/>
    <x v="1"/>
    <n v="0"/>
    <m/>
    <x v="1"/>
    <n v="10"/>
    <n v="10"/>
    <n v="58"/>
    <s v="Yes"/>
  </r>
  <r>
    <x v="256"/>
    <x v="1"/>
    <x v="1"/>
    <s v="Retail"/>
    <x v="1"/>
    <n v="285"/>
    <n v="1074.74"/>
    <s v="Social Media"/>
    <s v="North America"/>
    <d v="2024-09-27T00:00:00"/>
    <x v="1"/>
    <n v="0"/>
    <m/>
    <x v="1"/>
    <n v="2"/>
    <n v="9"/>
    <n v="91"/>
    <s v="Yes"/>
  </r>
  <r>
    <x v="257"/>
    <x v="1"/>
    <x v="1"/>
    <s v="Real Estate"/>
    <x v="0"/>
    <n v="31"/>
    <n v="135.57"/>
    <s v="Referral"/>
    <s v="Europe"/>
    <d v="2022-04-19T00:00:00"/>
    <x v="0"/>
    <n v="1"/>
    <d v="2024-04-18T00:00:00"/>
    <x v="6"/>
    <n v="4"/>
    <n v="5"/>
    <n v="36"/>
    <s v="No"/>
  </r>
  <r>
    <x v="258"/>
    <x v="0"/>
    <x v="1"/>
    <s v="Media"/>
    <x v="4"/>
    <n v="143"/>
    <n v="1497.45"/>
    <s v="Partner"/>
    <s v="Asia Pacific"/>
    <d v="2025-07-02T00:00:00"/>
    <x v="1"/>
    <n v="0"/>
    <m/>
    <x v="1"/>
    <n v="3"/>
    <n v="1"/>
    <n v="84"/>
    <s v="No"/>
  </r>
  <r>
    <x v="259"/>
    <x v="0"/>
    <x v="0"/>
    <s v="Real Estate"/>
    <x v="1"/>
    <n v="193"/>
    <n v="2354.1999999999998"/>
    <s v="Organic Search"/>
    <s v="North America"/>
    <d v="2023-07-30T00:00:00"/>
    <x v="0"/>
    <n v="1"/>
    <d v="2025-02-05T00:00:00"/>
    <x v="3"/>
    <n v="3"/>
    <n v="3"/>
    <n v="39"/>
    <s v="No"/>
  </r>
  <r>
    <x v="260"/>
    <x v="0"/>
    <x v="1"/>
    <s v="Legal"/>
    <x v="3"/>
    <n v="5"/>
    <n v="107.44"/>
    <s v="Organic Search"/>
    <s v="North America"/>
    <d v="2024-09-08T00:00:00"/>
    <x v="1"/>
    <n v="0"/>
    <m/>
    <x v="1"/>
    <n v="1"/>
    <n v="9"/>
    <n v="95"/>
    <s v="No"/>
  </r>
  <r>
    <x v="261"/>
    <x v="2"/>
    <x v="0"/>
    <s v="Manufacturing"/>
    <x v="3"/>
    <n v="8"/>
    <n v="407.95"/>
    <s v="Partner"/>
    <s v="North America"/>
    <d v="2024-02-05T00:00:00"/>
    <x v="0"/>
    <n v="1"/>
    <d v="2025-05-14T00:00:00"/>
    <x v="4"/>
    <n v="14"/>
    <n v="6"/>
    <n v="19"/>
    <s v="No"/>
  </r>
  <r>
    <x v="262"/>
    <x v="2"/>
    <x v="1"/>
    <s v="Healthcare"/>
    <x v="2"/>
    <n v="8"/>
    <n v="346.76"/>
    <s v="Partner"/>
    <s v="Europe"/>
    <d v="2025-08-08T00:00:00"/>
    <x v="1"/>
    <n v="0"/>
    <m/>
    <x v="1"/>
    <n v="3"/>
    <n v="6"/>
    <n v="43"/>
    <s v="No"/>
  </r>
  <r>
    <x v="263"/>
    <x v="1"/>
    <x v="0"/>
    <s v="Media"/>
    <x v="0"/>
    <n v="52"/>
    <n v="250.85"/>
    <s v="Organic Search"/>
    <s v="North America"/>
    <d v="2025-02-14T00:00:00"/>
    <x v="1"/>
    <n v="0"/>
    <m/>
    <x v="1"/>
    <n v="2"/>
    <n v="7"/>
    <n v="42"/>
    <s v="No"/>
  </r>
  <r>
    <x v="264"/>
    <x v="0"/>
    <x v="0"/>
    <s v="Manufacturing"/>
    <x v="0"/>
    <n v="45"/>
    <n v="600.4"/>
    <s v="Paid Ads"/>
    <s v="North America"/>
    <d v="2025-03-22T00:00:00"/>
    <x v="1"/>
    <n v="0"/>
    <m/>
    <x v="1"/>
    <n v="11"/>
    <n v="1"/>
    <n v="56"/>
    <s v="No"/>
  </r>
  <r>
    <x v="265"/>
    <x v="1"/>
    <x v="1"/>
    <s v="Retail"/>
    <x v="2"/>
    <n v="22"/>
    <n v="102.3"/>
    <s v="Referral"/>
    <s v="North America"/>
    <d v="2022-04-14T00:00:00"/>
    <x v="0"/>
    <n v="1"/>
    <d v="2022-07-08T00:00:00"/>
    <x v="4"/>
    <n v="5"/>
    <n v="4"/>
    <n v="20"/>
    <s v="No"/>
  </r>
  <r>
    <x v="266"/>
    <x v="3"/>
    <x v="0"/>
    <s v="Consulting"/>
    <x v="3"/>
    <n v="3"/>
    <n v="648.70000000000005"/>
    <s v="Paid Ads"/>
    <s v="Asia Pacific"/>
    <d v="2023-05-07T00:00:00"/>
    <x v="1"/>
    <n v="0"/>
    <m/>
    <x v="1"/>
    <n v="3"/>
    <n v="1"/>
    <n v="41"/>
    <s v="No"/>
  </r>
  <r>
    <x v="267"/>
    <x v="0"/>
    <x v="1"/>
    <s v="Retail"/>
    <x v="4"/>
    <n v="49"/>
    <n v="550.63"/>
    <s v="Organic Search"/>
    <s v="North America"/>
    <d v="2022-09-26T00:00:00"/>
    <x v="1"/>
    <n v="0"/>
    <m/>
    <x v="1"/>
    <n v="12"/>
    <n v="7"/>
    <n v="46"/>
    <s v="No"/>
  </r>
  <r>
    <x v="268"/>
    <x v="0"/>
    <x v="0"/>
    <s v="Consulting"/>
    <x v="3"/>
    <n v="3"/>
    <n v="102.7"/>
    <s v="Social Media"/>
    <s v="Asia Pacific"/>
    <d v="2025-04-03T00:00:00"/>
    <x v="0"/>
    <n v="1"/>
    <d v="2025-12-11T00:00:00"/>
    <x v="6"/>
    <n v="3"/>
    <n v="2"/>
    <n v="20"/>
    <s v="No"/>
  </r>
  <r>
    <x v="269"/>
    <x v="0"/>
    <x v="0"/>
    <s v="Media"/>
    <x v="0"/>
    <n v="66"/>
    <n v="849.25"/>
    <s v="Referral"/>
    <s v="North America"/>
    <d v="2023-02-25T00:00:00"/>
    <x v="0"/>
    <n v="1"/>
    <d v="2025-08-03T00:00:00"/>
    <x v="0"/>
    <n v="6"/>
    <n v="2"/>
    <n v="37"/>
    <s v="No"/>
  </r>
  <r>
    <x v="270"/>
    <x v="0"/>
    <x v="0"/>
    <s v="Technology"/>
    <x v="2"/>
    <n v="13"/>
    <n v="221.2"/>
    <s v="Organic Search"/>
    <s v="North America"/>
    <d v="2025-02-24T00:00:00"/>
    <x v="0"/>
    <n v="1"/>
    <d v="2025-03-05T00:00:00"/>
    <x v="5"/>
    <n v="6"/>
    <n v="4"/>
    <n v="19"/>
    <s v="No"/>
  </r>
  <r>
    <x v="271"/>
    <x v="1"/>
    <x v="0"/>
    <s v="Legal"/>
    <x v="4"/>
    <n v="103"/>
    <n v="472.7"/>
    <s v="Partner"/>
    <s v="Europe"/>
    <d v="2024-02-21T00:00:00"/>
    <x v="0"/>
    <n v="1"/>
    <d v="2024-05-27T00:00:00"/>
    <x v="4"/>
    <n v="11"/>
    <n v="1"/>
    <n v="14"/>
    <s v="No"/>
  </r>
  <r>
    <x v="272"/>
    <x v="0"/>
    <x v="1"/>
    <s v="Manufacturing"/>
    <x v="3"/>
    <n v="6"/>
    <n v="117.51"/>
    <s v="Organic Search"/>
    <s v="Latin America"/>
    <d v="2025-12-31T00:00:00"/>
    <x v="1"/>
    <n v="0"/>
    <m/>
    <x v="1"/>
    <n v="2"/>
    <n v="9"/>
    <n v="20"/>
    <s v="No"/>
  </r>
  <r>
    <x v="273"/>
    <x v="0"/>
    <x v="1"/>
    <s v="Finance"/>
    <x v="0"/>
    <n v="41"/>
    <n v="470.05"/>
    <s v="Partner"/>
    <s v="Europe"/>
    <d v="2025-08-13T00:00:00"/>
    <x v="1"/>
    <n v="0"/>
    <m/>
    <x v="1"/>
    <n v="2"/>
    <n v="8"/>
    <n v="37"/>
    <s v="No"/>
  </r>
  <r>
    <x v="274"/>
    <x v="2"/>
    <x v="0"/>
    <s v="Education"/>
    <x v="3"/>
    <n v="6"/>
    <n v="348.25"/>
    <s v="Organic Search"/>
    <s v="Latin America"/>
    <d v="2024-10-01T00:00:00"/>
    <x v="1"/>
    <n v="0"/>
    <m/>
    <x v="1"/>
    <n v="7"/>
    <n v="7"/>
    <n v="30"/>
    <s v="No"/>
  </r>
  <r>
    <x v="275"/>
    <x v="1"/>
    <x v="0"/>
    <s v="Legal"/>
    <x v="4"/>
    <n v="50"/>
    <n v="242.15"/>
    <s v="Referral"/>
    <s v="Asia Pacific"/>
    <d v="2024-01-28T00:00:00"/>
    <x v="1"/>
    <n v="0"/>
    <m/>
    <x v="1"/>
    <n v="0"/>
    <n v="3"/>
    <n v="40"/>
    <s v="Yes"/>
  </r>
  <r>
    <x v="276"/>
    <x v="3"/>
    <x v="0"/>
    <s v="Education"/>
    <x v="2"/>
    <n v="31"/>
    <n v="2744.5"/>
    <s v="Referral"/>
    <s v="Europe"/>
    <d v="2023-02-02T00:00:00"/>
    <x v="0"/>
    <n v="1"/>
    <d v="2023-05-07T00:00:00"/>
    <x v="3"/>
    <n v="3"/>
    <n v="1"/>
    <n v="12"/>
    <s v="No"/>
  </r>
  <r>
    <x v="277"/>
    <x v="2"/>
    <x v="0"/>
    <s v="Finance"/>
    <x v="0"/>
    <n v="48"/>
    <n v="1601.95"/>
    <s v="Organic Search"/>
    <s v="Europe"/>
    <d v="2025-10-17T00:00:00"/>
    <x v="1"/>
    <n v="0"/>
    <m/>
    <x v="1"/>
    <n v="7"/>
    <n v="4"/>
    <n v="52"/>
    <s v="No"/>
  </r>
  <r>
    <x v="278"/>
    <x v="1"/>
    <x v="0"/>
    <s v="Finance"/>
    <x v="3"/>
    <n v="7"/>
    <n v="55.1"/>
    <s v="Organic Search"/>
    <s v="North America"/>
    <d v="2025-09-09T00:00:00"/>
    <x v="1"/>
    <n v="0"/>
    <m/>
    <x v="1"/>
    <n v="4"/>
    <n v="3"/>
    <n v="93"/>
    <s v="No"/>
  </r>
  <r>
    <x v="279"/>
    <x v="1"/>
    <x v="0"/>
    <s v="Healthcare"/>
    <x v="3"/>
    <n v="3"/>
    <n v="37.700000000000003"/>
    <s v="Direct Sales"/>
    <s v="Europe"/>
    <d v="2025-05-01T00:00:00"/>
    <x v="1"/>
    <n v="0"/>
    <m/>
    <x v="1"/>
    <n v="2"/>
    <n v="6"/>
    <n v="66"/>
    <s v="No"/>
  </r>
  <r>
    <x v="280"/>
    <x v="2"/>
    <x v="1"/>
    <s v="Legal"/>
    <x v="2"/>
    <n v="25"/>
    <n v="778.09"/>
    <s v="Partner"/>
    <s v="North America"/>
    <d v="2025-06-11T00:00:00"/>
    <x v="1"/>
    <n v="0"/>
    <m/>
    <x v="1"/>
    <n v="4"/>
    <n v="3"/>
    <n v="90"/>
    <s v="No"/>
  </r>
  <r>
    <x v="281"/>
    <x v="0"/>
    <x v="0"/>
    <s v="Finance"/>
    <x v="2"/>
    <n v="15"/>
    <n v="244.9"/>
    <s v="Partner"/>
    <s v="North America"/>
    <d v="2025-05-03T00:00:00"/>
    <x v="1"/>
    <n v="0"/>
    <m/>
    <x v="1"/>
    <n v="1"/>
    <n v="6"/>
    <n v="86"/>
    <s v="Yes"/>
  </r>
  <r>
    <x v="282"/>
    <x v="0"/>
    <x v="0"/>
    <s v="Manufacturing"/>
    <x v="0"/>
    <n v="18"/>
    <n v="280.45"/>
    <s v="Paid Ads"/>
    <s v="North America"/>
    <d v="2022-11-22T00:00:00"/>
    <x v="0"/>
    <n v="1"/>
    <d v="2025-09-25T00:00:00"/>
    <x v="3"/>
    <n v="6"/>
    <n v="2"/>
    <n v="11"/>
    <s v="No"/>
  </r>
  <r>
    <x v="283"/>
    <x v="1"/>
    <x v="0"/>
    <s v="Manufacturing"/>
    <x v="4"/>
    <n v="82"/>
    <n v="381.35"/>
    <s v="Organic Search"/>
    <s v="North America"/>
    <d v="2024-11-10T00:00:00"/>
    <x v="1"/>
    <n v="0"/>
    <m/>
    <x v="1"/>
    <n v="10"/>
    <n v="4"/>
    <n v="84"/>
    <s v="Yes"/>
  </r>
  <r>
    <x v="284"/>
    <x v="1"/>
    <x v="0"/>
    <s v="Healthcare"/>
    <x v="4"/>
    <n v="111"/>
    <n v="507.5"/>
    <s v="Social Media"/>
    <s v="North America"/>
    <d v="2025-12-13T00:00:00"/>
    <x v="1"/>
    <n v="0"/>
    <m/>
    <x v="1"/>
    <n v="9"/>
    <n v="7"/>
    <n v="73"/>
    <s v="No"/>
  </r>
  <r>
    <x v="285"/>
    <x v="2"/>
    <x v="1"/>
    <s v="Finance"/>
    <x v="3"/>
    <n v="2"/>
    <n v="194.52"/>
    <s v="Organic Search"/>
    <s v="Latin America"/>
    <d v="2023-07-02T00:00:00"/>
    <x v="0"/>
    <n v="1"/>
    <d v="2023-09-25T00:00:00"/>
    <x v="4"/>
    <n v="1"/>
    <n v="2"/>
    <n v="39"/>
    <s v="No"/>
  </r>
  <r>
    <x v="286"/>
    <x v="3"/>
    <x v="0"/>
    <s v="Manufacturing"/>
    <x v="0"/>
    <n v="71"/>
    <n v="5738.5"/>
    <s v="Referral"/>
    <s v="North America"/>
    <d v="2023-01-13T00:00:00"/>
    <x v="1"/>
    <n v="0"/>
    <m/>
    <x v="1"/>
    <n v="9"/>
    <n v="10"/>
    <n v="36"/>
    <s v="No"/>
  </r>
  <r>
    <x v="287"/>
    <x v="2"/>
    <x v="0"/>
    <s v="Technology"/>
    <x v="2"/>
    <n v="19"/>
    <n v="736.3"/>
    <s v="Organic Search"/>
    <s v="North America"/>
    <d v="2025-03-22T00:00:00"/>
    <x v="1"/>
    <n v="0"/>
    <m/>
    <x v="1"/>
    <n v="12"/>
    <n v="9"/>
    <n v="47"/>
    <s v="Yes"/>
  </r>
  <r>
    <x v="288"/>
    <x v="0"/>
    <x v="0"/>
    <s v="Manufacturing"/>
    <x v="0"/>
    <n v="51"/>
    <n v="671.5"/>
    <s v="Organic Search"/>
    <s v="North America"/>
    <d v="2022-01-06T00:00:00"/>
    <x v="1"/>
    <n v="0"/>
    <m/>
    <x v="1"/>
    <n v="3"/>
    <n v="7"/>
    <n v="75"/>
    <s v="No"/>
  </r>
  <r>
    <x v="289"/>
    <x v="2"/>
    <x v="1"/>
    <s v="Consulting"/>
    <x v="4"/>
    <n v="55"/>
    <n v="1539.27"/>
    <s v="Paid Ads"/>
    <s v="Latin America"/>
    <d v="2022-07-29T00:00:00"/>
    <x v="0"/>
    <n v="1"/>
    <d v="2024-05-29T00:00:00"/>
    <x v="2"/>
    <n v="8"/>
    <n v="2"/>
    <n v="34"/>
    <s v="No"/>
  </r>
  <r>
    <x v="290"/>
    <x v="3"/>
    <x v="1"/>
    <s v="Finance"/>
    <x v="0"/>
    <n v="16"/>
    <n v="1378.49"/>
    <s v="Social Media"/>
    <s v="North America"/>
    <d v="2023-01-12T00:00:00"/>
    <x v="1"/>
    <n v="0"/>
    <m/>
    <x v="1"/>
    <n v="9"/>
    <n v="6"/>
    <n v="31"/>
    <s v="No"/>
  </r>
  <r>
    <x v="291"/>
    <x v="0"/>
    <x v="0"/>
    <s v="Technology"/>
    <x v="3"/>
    <n v="8"/>
    <n v="161.94999999999999"/>
    <s v="Direct Sales"/>
    <s v="North America"/>
    <d v="2023-07-03T00:00:00"/>
    <x v="0"/>
    <n v="1"/>
    <d v="2025-01-31T00:00:00"/>
    <x v="3"/>
    <n v="3"/>
    <n v="1"/>
    <n v="32"/>
    <s v="No"/>
  </r>
  <r>
    <x v="292"/>
    <x v="0"/>
    <x v="0"/>
    <s v="Finance"/>
    <x v="2"/>
    <n v="24"/>
    <n v="351.55"/>
    <s v="Direct Sales"/>
    <s v="North America"/>
    <d v="2022-02-21T00:00:00"/>
    <x v="0"/>
    <n v="1"/>
    <d v="2022-08-11T00:00:00"/>
    <x v="3"/>
    <n v="8"/>
    <n v="1"/>
    <n v="35"/>
    <s v="No"/>
  </r>
  <r>
    <x v="293"/>
    <x v="2"/>
    <x v="0"/>
    <s v="Finance"/>
    <x v="0"/>
    <n v="51"/>
    <n v="1691.5"/>
    <s v="Referral"/>
    <s v="North America"/>
    <d v="2025-08-22T00:00:00"/>
    <x v="0"/>
    <n v="1"/>
    <d v="2025-11-14T00:00:00"/>
    <x v="3"/>
    <n v="1"/>
    <n v="4"/>
    <n v="25"/>
    <s v="No"/>
  </r>
  <r>
    <x v="294"/>
    <x v="1"/>
    <x v="0"/>
    <s v="Manufacturing"/>
    <x v="4"/>
    <n v="34"/>
    <n v="172.55"/>
    <s v="Referral"/>
    <s v="Europe"/>
    <d v="2022-10-12T00:00:00"/>
    <x v="0"/>
    <n v="1"/>
    <d v="2022-10-29T00:00:00"/>
    <x v="4"/>
    <n v="6"/>
    <n v="4"/>
    <n v="12"/>
    <s v="No"/>
  </r>
  <r>
    <x v="295"/>
    <x v="1"/>
    <x v="0"/>
    <s v="Education"/>
    <x v="4"/>
    <n v="146"/>
    <n v="659.75"/>
    <s v="Partner"/>
    <s v="North America"/>
    <d v="2023-10-19T00:00:00"/>
    <x v="0"/>
    <n v="1"/>
    <d v="2023-11-10T00:00:00"/>
    <x v="0"/>
    <n v="8"/>
    <n v="3"/>
    <n v="13"/>
    <s v="No"/>
  </r>
  <r>
    <x v="296"/>
    <x v="2"/>
    <x v="0"/>
    <s v="Technology"/>
    <x v="0"/>
    <n v="36"/>
    <n v="1243.75"/>
    <s v="Paid Ads"/>
    <s v="North America"/>
    <d v="2024-12-19T00:00:00"/>
    <x v="1"/>
    <n v="0"/>
    <m/>
    <x v="1"/>
    <n v="6"/>
    <n v="10"/>
    <n v="82"/>
    <s v="No"/>
  </r>
  <r>
    <x v="297"/>
    <x v="1"/>
    <x v="0"/>
    <s v="Education"/>
    <x v="0"/>
    <n v="70"/>
    <n v="329.15"/>
    <s v="Direct Sales"/>
    <s v="Latin America"/>
    <d v="2023-06-28T00:00:00"/>
    <x v="0"/>
    <n v="1"/>
    <d v="2024-08-27T00:00:00"/>
    <x v="4"/>
    <n v="15"/>
    <n v="2"/>
    <n v="11"/>
    <s v="No"/>
  </r>
  <r>
    <x v="298"/>
    <x v="2"/>
    <x v="0"/>
    <s v="Retail"/>
    <x v="2"/>
    <n v="13"/>
    <n v="557.20000000000005"/>
    <s v="Organic Search"/>
    <s v="North America"/>
    <d v="2022-04-29T00:00:00"/>
    <x v="0"/>
    <n v="1"/>
    <d v="2022-07-15T00:00:00"/>
    <x v="0"/>
    <n v="6"/>
    <n v="6"/>
    <n v="43"/>
    <s v="No"/>
  </r>
  <r>
    <x v="299"/>
    <x v="1"/>
    <x v="0"/>
    <s v="Manufacturing"/>
    <x v="2"/>
    <n v="23"/>
    <n v="124.7"/>
    <s v="Paid Ads"/>
    <s v="Europe"/>
    <d v="2025-06-06T00:00:00"/>
    <x v="1"/>
    <n v="0"/>
    <m/>
    <x v="1"/>
    <n v="11"/>
    <n v="10"/>
    <n v="44"/>
    <s v="No"/>
  </r>
  <r>
    <x v="300"/>
    <x v="0"/>
    <x v="1"/>
    <s v="Legal"/>
    <x v="4"/>
    <n v="108"/>
    <n v="1144.9100000000001"/>
    <s v="Organic Search"/>
    <s v="North America"/>
    <d v="2024-12-14T00:00:00"/>
    <x v="1"/>
    <n v="0"/>
    <m/>
    <x v="1"/>
    <n v="3"/>
    <n v="6"/>
    <n v="32"/>
    <s v="Yes"/>
  </r>
  <r>
    <x v="301"/>
    <x v="2"/>
    <x v="1"/>
    <s v="Finance"/>
    <x v="2"/>
    <n v="19"/>
    <n v="625.86"/>
    <s v="Paid Ads"/>
    <s v="North America"/>
    <d v="2023-04-08T00:00:00"/>
    <x v="1"/>
    <n v="0"/>
    <m/>
    <x v="1"/>
    <n v="8"/>
    <n v="10"/>
    <n v="53"/>
    <s v="No"/>
  </r>
  <r>
    <x v="302"/>
    <x v="2"/>
    <x v="1"/>
    <s v="Consulting"/>
    <x v="2"/>
    <n v="22"/>
    <n v="701.97"/>
    <s v="Social Media"/>
    <s v="Latin America"/>
    <d v="2022-01-24T00:00:00"/>
    <x v="0"/>
    <n v="1"/>
    <d v="2023-12-12T00:00:00"/>
    <x v="2"/>
    <n v="1"/>
    <n v="5"/>
    <n v="10"/>
    <s v="No"/>
  </r>
  <r>
    <x v="303"/>
    <x v="0"/>
    <x v="1"/>
    <s v="Media"/>
    <x v="2"/>
    <n v="29"/>
    <n v="349.18"/>
    <s v="Referral"/>
    <s v="North America"/>
    <d v="2022-12-03T00:00:00"/>
    <x v="0"/>
    <n v="1"/>
    <d v="2023-02-19T00:00:00"/>
    <x v="6"/>
    <n v="14"/>
    <n v="3"/>
    <n v="32"/>
    <s v="No"/>
  </r>
  <r>
    <x v="304"/>
    <x v="2"/>
    <x v="0"/>
    <s v="Manufacturing"/>
    <x v="4"/>
    <n v="99"/>
    <n v="3124.3"/>
    <s v="Partner"/>
    <s v="North America"/>
    <d v="2025-02-24T00:00:00"/>
    <x v="1"/>
    <n v="0"/>
    <m/>
    <x v="1"/>
    <n v="8"/>
    <n v="7"/>
    <n v="17"/>
    <s v="No"/>
  </r>
  <r>
    <x v="305"/>
    <x v="2"/>
    <x v="0"/>
    <s v="Legal"/>
    <x v="2"/>
    <n v="26"/>
    <n v="945.25"/>
    <s v="Organic Search"/>
    <s v="Europe"/>
    <d v="2024-12-15T00:00:00"/>
    <x v="1"/>
    <n v="0"/>
    <m/>
    <x v="1"/>
    <n v="4"/>
    <n v="6"/>
    <n v="41"/>
    <s v="No"/>
  </r>
  <r>
    <x v="306"/>
    <x v="3"/>
    <x v="1"/>
    <s v="Manufacturing"/>
    <x v="0"/>
    <n v="50"/>
    <n v="3541.65"/>
    <s v="Organic Search"/>
    <s v="North America"/>
    <d v="2025-02-09T00:00:00"/>
    <x v="1"/>
    <n v="0"/>
    <m/>
    <x v="1"/>
    <n v="9"/>
    <n v="9"/>
    <n v="36"/>
    <s v="No"/>
  </r>
  <r>
    <x v="307"/>
    <x v="2"/>
    <x v="1"/>
    <s v="Consulting"/>
    <x v="2"/>
    <n v="21"/>
    <n v="676.6"/>
    <s v="Paid Ads"/>
    <s v="North America"/>
    <d v="2025-09-20T00:00:00"/>
    <x v="1"/>
    <n v="0"/>
    <m/>
    <x v="1"/>
    <n v="0"/>
    <n v="8"/>
    <n v="91"/>
    <s v="No"/>
  </r>
  <r>
    <x v="308"/>
    <x v="1"/>
    <x v="1"/>
    <s v="Manufacturing"/>
    <x v="3"/>
    <n v="7"/>
    <n v="46.83"/>
    <s v="Paid Ads"/>
    <s v="North America"/>
    <d v="2023-09-03T00:00:00"/>
    <x v="0"/>
    <n v="1"/>
    <d v="2024-01-09T00:00:00"/>
    <x v="2"/>
    <n v="5"/>
    <n v="2"/>
    <n v="41"/>
    <s v="No"/>
  </r>
  <r>
    <x v="309"/>
    <x v="1"/>
    <x v="0"/>
    <s v="Legal"/>
    <x v="4"/>
    <n v="71"/>
    <n v="333.5"/>
    <s v="Direct Sales"/>
    <s v="Europe"/>
    <d v="2023-07-08T00:00:00"/>
    <x v="0"/>
    <n v="1"/>
    <d v="2024-02-11T00:00:00"/>
    <x v="6"/>
    <n v="1"/>
    <n v="3"/>
    <n v="14"/>
    <s v="No"/>
  </r>
  <r>
    <x v="310"/>
    <x v="0"/>
    <x v="1"/>
    <s v="Finance"/>
    <x v="1"/>
    <n v="290"/>
    <n v="2978.1"/>
    <s v="Referral"/>
    <s v="North America"/>
    <d v="2024-02-15T00:00:00"/>
    <x v="1"/>
    <n v="0"/>
    <m/>
    <x v="1"/>
    <n v="9"/>
    <n v="9"/>
    <n v="39"/>
    <s v="No"/>
  </r>
  <r>
    <x v="311"/>
    <x v="1"/>
    <x v="1"/>
    <s v="Real Estate"/>
    <x v="4"/>
    <n v="36"/>
    <n v="154.06"/>
    <s v="Partner"/>
    <s v="Asia Pacific"/>
    <d v="2024-03-06T00:00:00"/>
    <x v="0"/>
    <n v="1"/>
    <d v="2024-09-01T00:00:00"/>
    <x v="3"/>
    <n v="4"/>
    <n v="5"/>
    <n v="42"/>
    <s v="No"/>
  </r>
  <r>
    <x v="312"/>
    <x v="1"/>
    <x v="0"/>
    <s v="Education"/>
    <x v="0"/>
    <n v="74"/>
    <n v="346.55"/>
    <s v="Organic Search"/>
    <s v="Europe"/>
    <d v="2025-01-22T00:00:00"/>
    <x v="1"/>
    <n v="0"/>
    <m/>
    <x v="1"/>
    <n v="3"/>
    <n v="4"/>
    <n v="18"/>
    <s v="No"/>
  </r>
  <r>
    <x v="313"/>
    <x v="1"/>
    <x v="1"/>
    <s v="Media"/>
    <x v="3"/>
    <n v="8"/>
    <n v="50.53"/>
    <s v="Referral"/>
    <s v="Latin America"/>
    <d v="2024-10-07T00:00:00"/>
    <x v="1"/>
    <n v="0"/>
    <m/>
    <x v="1"/>
    <n v="3"/>
    <n v="2"/>
    <n v="22"/>
    <s v="No"/>
  </r>
  <r>
    <x v="314"/>
    <x v="1"/>
    <x v="0"/>
    <s v="Education"/>
    <x v="2"/>
    <n v="13"/>
    <n v="81.2"/>
    <s v="Paid Ads"/>
    <s v="Europe"/>
    <d v="2025-03-23T00:00:00"/>
    <x v="0"/>
    <n v="1"/>
    <d v="2025-09-20T00:00:00"/>
    <x v="5"/>
    <n v="12"/>
    <n v="3"/>
    <n v="29"/>
    <s v="No"/>
  </r>
  <r>
    <x v="315"/>
    <x v="0"/>
    <x v="1"/>
    <s v="Finance"/>
    <x v="2"/>
    <n v="33"/>
    <n v="389.47"/>
    <s v="Partner"/>
    <s v="Latin America"/>
    <d v="2022-10-01T00:00:00"/>
    <x v="0"/>
    <n v="1"/>
    <d v="2025-09-06T00:00:00"/>
    <x v="2"/>
    <n v="11"/>
    <n v="6"/>
    <n v="37"/>
    <s v="No"/>
  </r>
  <r>
    <x v="316"/>
    <x v="1"/>
    <x v="0"/>
    <s v="Finance"/>
    <x v="2"/>
    <n v="31"/>
    <n v="159.5"/>
    <s v="Partner"/>
    <s v="North America"/>
    <d v="2024-12-09T00:00:00"/>
    <x v="0"/>
    <n v="1"/>
    <d v="2025-04-11T00:00:00"/>
    <x v="0"/>
    <n v="6"/>
    <n v="3"/>
    <n v="26"/>
    <s v="No"/>
  </r>
  <r>
    <x v="317"/>
    <x v="1"/>
    <x v="0"/>
    <s v="Retail"/>
    <x v="3"/>
    <n v="1"/>
    <n v="29"/>
    <s v="Social Media"/>
    <s v="Latin America"/>
    <d v="2025-02-06T00:00:00"/>
    <x v="0"/>
    <n v="1"/>
    <d v="2025-10-26T00:00:00"/>
    <x v="5"/>
    <n v="12"/>
    <n v="3"/>
    <n v="30"/>
    <s v="No"/>
  </r>
  <r>
    <x v="318"/>
    <x v="1"/>
    <x v="1"/>
    <s v="Legal"/>
    <x v="0"/>
    <n v="40"/>
    <n v="168.85"/>
    <s v="Organic Search"/>
    <s v="Europe"/>
    <d v="2022-07-16T00:00:00"/>
    <x v="0"/>
    <n v="1"/>
    <d v="2022-10-13T00:00:00"/>
    <x v="3"/>
    <n v="14"/>
    <n v="4"/>
    <n v="38"/>
    <s v="No"/>
  </r>
  <r>
    <x v="319"/>
    <x v="0"/>
    <x v="1"/>
    <s v="Legal"/>
    <x v="0"/>
    <n v="20"/>
    <n v="258.52999999999997"/>
    <s v="Organic Search"/>
    <s v="Europe"/>
    <d v="2023-12-19T00:00:00"/>
    <x v="1"/>
    <n v="0"/>
    <m/>
    <x v="1"/>
    <n v="10"/>
    <n v="9"/>
    <n v="34"/>
    <s v="No"/>
  </r>
  <r>
    <x v="320"/>
    <x v="0"/>
    <x v="0"/>
    <s v="Education"/>
    <x v="3"/>
    <n v="2"/>
    <n v="90.85"/>
    <s v="Organic Search"/>
    <s v="North America"/>
    <d v="2025-03-11T00:00:00"/>
    <x v="0"/>
    <n v="1"/>
    <d v="2025-04-30T00:00:00"/>
    <x v="5"/>
    <n v="8"/>
    <n v="3"/>
    <n v="15"/>
    <s v="No"/>
  </r>
  <r>
    <x v="321"/>
    <x v="0"/>
    <x v="1"/>
    <s v="Consulting"/>
    <x v="0"/>
    <n v="34"/>
    <n v="399.54"/>
    <s v="Social Media"/>
    <s v="North America"/>
    <d v="2024-10-14T00:00:00"/>
    <x v="0"/>
    <n v="1"/>
    <d v="2024-12-11T00:00:00"/>
    <x v="7"/>
    <n v="11"/>
    <n v="6"/>
    <n v="12"/>
    <s v="No"/>
  </r>
  <r>
    <x v="322"/>
    <x v="2"/>
    <x v="0"/>
    <s v="Media"/>
    <x v="3"/>
    <n v="7"/>
    <n v="378.1"/>
    <s v="Partner"/>
    <s v="Asia Pacific"/>
    <d v="2023-10-18T00:00:00"/>
    <x v="1"/>
    <n v="0"/>
    <m/>
    <x v="1"/>
    <n v="5"/>
    <n v="9"/>
    <n v="55"/>
    <s v="No"/>
  </r>
  <r>
    <x v="323"/>
    <x v="1"/>
    <x v="1"/>
    <s v="Consulting"/>
    <x v="0"/>
    <n v="24"/>
    <n v="109.69"/>
    <s v="Organic Search"/>
    <s v="North America"/>
    <d v="2025-11-12T00:00:00"/>
    <x v="1"/>
    <n v="0"/>
    <m/>
    <x v="1"/>
    <n v="7"/>
    <n v="2"/>
    <n v="90"/>
    <s v="No"/>
  </r>
  <r>
    <x v="324"/>
    <x v="0"/>
    <x v="1"/>
    <s v="Technology"/>
    <x v="4"/>
    <n v="105"/>
    <n v="1114.69"/>
    <s v="Paid Ads"/>
    <s v="Europe"/>
    <d v="2022-03-28T00:00:00"/>
    <x v="0"/>
    <n v="1"/>
    <d v="2023-09-25T00:00:00"/>
    <x v="4"/>
    <n v="2"/>
    <n v="1"/>
    <n v="15"/>
    <s v="No"/>
  </r>
  <r>
    <x v="325"/>
    <x v="2"/>
    <x v="1"/>
    <s v="Education"/>
    <x v="2"/>
    <n v="10"/>
    <n v="397.5"/>
    <s v="Partner"/>
    <s v="North America"/>
    <d v="2025-01-19T00:00:00"/>
    <x v="1"/>
    <n v="0"/>
    <m/>
    <x v="1"/>
    <n v="6"/>
    <n v="9"/>
    <n v="77"/>
    <s v="Yes"/>
  </r>
  <r>
    <x v="326"/>
    <x v="0"/>
    <x v="0"/>
    <s v="Consulting"/>
    <x v="2"/>
    <n v="15"/>
    <n v="244.9"/>
    <s v="Partner"/>
    <s v="Asia Pacific"/>
    <d v="2022-05-04T00:00:00"/>
    <x v="0"/>
    <n v="1"/>
    <d v="2022-06-25T00:00:00"/>
    <x v="5"/>
    <n v="14"/>
    <n v="1"/>
    <n v="15"/>
    <s v="No"/>
  </r>
  <r>
    <x v="327"/>
    <x v="0"/>
    <x v="0"/>
    <s v="Technology"/>
    <x v="2"/>
    <n v="13"/>
    <n v="221.2"/>
    <s v="Paid Ads"/>
    <s v="Europe"/>
    <d v="2024-08-30T00:00:00"/>
    <x v="1"/>
    <n v="0"/>
    <m/>
    <x v="1"/>
    <n v="2"/>
    <n v="4"/>
    <n v="71"/>
    <s v="No"/>
  </r>
  <r>
    <x v="328"/>
    <x v="1"/>
    <x v="0"/>
    <s v="Legal"/>
    <x v="1"/>
    <n v="297"/>
    <n v="1316.6"/>
    <s v="Partner"/>
    <s v="Latin America"/>
    <d v="2025-12-11T00:00:00"/>
    <x v="1"/>
    <n v="0"/>
    <m/>
    <x v="1"/>
    <n v="7"/>
    <n v="4"/>
    <n v="44"/>
    <s v="No"/>
  </r>
  <r>
    <x v="329"/>
    <x v="0"/>
    <x v="0"/>
    <s v="Retail"/>
    <x v="0"/>
    <n v="51"/>
    <n v="671.5"/>
    <s v="Direct Sales"/>
    <s v="Asia Pacific"/>
    <d v="2024-03-17T00:00:00"/>
    <x v="1"/>
    <n v="0"/>
    <m/>
    <x v="1"/>
    <n v="7"/>
    <n v="4"/>
    <n v="84"/>
    <s v="No"/>
  </r>
  <r>
    <x v="330"/>
    <x v="0"/>
    <x v="0"/>
    <s v="Education"/>
    <x v="0"/>
    <n v="30"/>
    <n v="422.65"/>
    <s v="Social Media"/>
    <s v="North America"/>
    <d v="2025-06-13T00:00:00"/>
    <x v="1"/>
    <n v="0"/>
    <m/>
    <x v="1"/>
    <n v="11"/>
    <n v="5"/>
    <n v="60"/>
    <s v="No"/>
  </r>
  <r>
    <x v="331"/>
    <x v="0"/>
    <x v="0"/>
    <s v="Finance"/>
    <x v="0"/>
    <n v="77"/>
    <n v="979.6"/>
    <s v="Paid Ads"/>
    <s v="North America"/>
    <d v="2025-03-08T00:00:00"/>
    <x v="0"/>
    <n v="1"/>
    <d v="2025-06-10T00:00:00"/>
    <x v="4"/>
    <n v="3"/>
    <n v="2"/>
    <n v="40"/>
    <s v="No"/>
  </r>
  <r>
    <x v="332"/>
    <x v="0"/>
    <x v="1"/>
    <s v="Education"/>
    <x v="0"/>
    <n v="18"/>
    <n v="238.38"/>
    <s v="Partner"/>
    <s v="Asia Pacific"/>
    <d v="2024-04-05T00:00:00"/>
    <x v="0"/>
    <n v="1"/>
    <d v="2025-10-06T00:00:00"/>
    <x v="7"/>
    <n v="14"/>
    <n v="1"/>
    <n v="33"/>
    <s v="No"/>
  </r>
  <r>
    <x v="333"/>
    <x v="1"/>
    <x v="1"/>
    <s v="Finance"/>
    <x v="4"/>
    <n v="85"/>
    <n v="335.24"/>
    <s v="Organic Search"/>
    <s v="Europe"/>
    <d v="2023-10-13T00:00:00"/>
    <x v="0"/>
    <n v="1"/>
    <d v="2024-01-22T00:00:00"/>
    <x v="4"/>
    <n v="8"/>
    <n v="1"/>
    <n v="35"/>
    <s v="No"/>
  </r>
  <r>
    <x v="334"/>
    <x v="0"/>
    <x v="0"/>
    <s v="Consulting"/>
    <x v="2"/>
    <n v="18"/>
    <n v="280.45"/>
    <s v="Social Media"/>
    <s v="North America"/>
    <d v="2022-09-07T00:00:00"/>
    <x v="0"/>
    <n v="1"/>
    <d v="2024-03-13T00:00:00"/>
    <x v="6"/>
    <n v="10"/>
    <n v="1"/>
    <n v="27"/>
    <s v="No"/>
  </r>
  <r>
    <x v="335"/>
    <x v="2"/>
    <x v="1"/>
    <s v="Education"/>
    <x v="3"/>
    <n v="5"/>
    <n v="270.64"/>
    <s v="Organic Search"/>
    <s v="Europe"/>
    <d v="2023-07-14T00:00:00"/>
    <x v="0"/>
    <n v="1"/>
    <d v="2025-02-15T00:00:00"/>
    <x v="5"/>
    <n v="7"/>
    <n v="1"/>
    <n v="36"/>
    <s v="No"/>
  </r>
  <r>
    <x v="336"/>
    <x v="1"/>
    <x v="0"/>
    <s v="Media"/>
    <x v="0"/>
    <n v="65"/>
    <n v="307.39999999999998"/>
    <s v="Paid Ads"/>
    <s v="Latin America"/>
    <d v="2022-11-22T00:00:00"/>
    <x v="0"/>
    <n v="1"/>
    <d v="2023-03-19T00:00:00"/>
    <x v="0"/>
    <n v="3"/>
    <n v="1"/>
    <n v="45"/>
    <s v="No"/>
  </r>
  <r>
    <x v="337"/>
    <x v="1"/>
    <x v="1"/>
    <s v="Technology"/>
    <x v="2"/>
    <n v="26"/>
    <n v="117.09"/>
    <s v="Partner"/>
    <s v="North America"/>
    <d v="2024-01-29T00:00:00"/>
    <x v="1"/>
    <n v="0"/>
    <m/>
    <x v="1"/>
    <n v="4"/>
    <n v="8"/>
    <n v="42"/>
    <s v="Yes"/>
  </r>
  <r>
    <x v="338"/>
    <x v="1"/>
    <x v="0"/>
    <s v="Media"/>
    <x v="3"/>
    <n v="4"/>
    <n v="42.05"/>
    <s v="Organic Search"/>
    <s v="North America"/>
    <d v="2024-05-28T00:00:00"/>
    <x v="0"/>
    <n v="1"/>
    <d v="2025-01-20T00:00:00"/>
    <x v="0"/>
    <n v="0"/>
    <n v="4"/>
    <n v="13"/>
    <s v="No"/>
  </r>
  <r>
    <x v="339"/>
    <x v="1"/>
    <x v="1"/>
    <s v="Education"/>
    <x v="4"/>
    <n v="140"/>
    <n v="538.6"/>
    <s v="Organic Search"/>
    <s v="Europe"/>
    <d v="2022-06-30T00:00:00"/>
    <x v="0"/>
    <n v="1"/>
    <d v="2022-10-01T00:00:00"/>
    <x v="4"/>
    <n v="14"/>
    <n v="2"/>
    <n v="43"/>
    <s v="No"/>
  </r>
  <r>
    <x v="340"/>
    <x v="1"/>
    <x v="0"/>
    <s v="Real Estate"/>
    <x v="4"/>
    <n v="41"/>
    <n v="203"/>
    <s v="Paid Ads"/>
    <s v="North America"/>
    <d v="2025-03-19T00:00:00"/>
    <x v="0"/>
    <n v="1"/>
    <d v="2025-06-24T00:00:00"/>
    <x v="6"/>
    <n v="12"/>
    <n v="1"/>
    <n v="40"/>
    <s v="No"/>
  </r>
  <r>
    <x v="341"/>
    <x v="1"/>
    <x v="1"/>
    <s v="Retail"/>
    <x v="4"/>
    <n v="78"/>
    <n v="309.36"/>
    <s v="Paid Ads"/>
    <s v="Europe"/>
    <d v="2024-08-15T00:00:00"/>
    <x v="0"/>
    <n v="1"/>
    <d v="2025-08-15T00:00:00"/>
    <x v="3"/>
    <n v="3"/>
    <n v="1"/>
    <n v="35"/>
    <s v="No"/>
  </r>
  <r>
    <x v="342"/>
    <x v="2"/>
    <x v="1"/>
    <s v="Legal"/>
    <x v="2"/>
    <n v="12"/>
    <n v="448.25"/>
    <s v="Referral"/>
    <s v="Latin America"/>
    <d v="2023-05-23T00:00:00"/>
    <x v="0"/>
    <n v="1"/>
    <d v="2025-04-18T00:00:00"/>
    <x v="6"/>
    <n v="12"/>
    <n v="6"/>
    <n v="19"/>
    <s v="No"/>
  </r>
  <r>
    <x v="343"/>
    <x v="0"/>
    <x v="0"/>
    <s v="Retail"/>
    <x v="2"/>
    <n v="32"/>
    <n v="446.35"/>
    <s v="Referral"/>
    <s v="Asia Pacific"/>
    <d v="2022-05-22T00:00:00"/>
    <x v="0"/>
    <n v="1"/>
    <d v="2023-06-15T00:00:00"/>
    <x v="5"/>
    <n v="3"/>
    <n v="3"/>
    <n v="29"/>
    <s v="No"/>
  </r>
  <r>
    <x v="344"/>
    <x v="2"/>
    <x v="1"/>
    <s v="Education"/>
    <x v="3"/>
    <n v="4"/>
    <n v="245.27"/>
    <s v="Paid Ads"/>
    <s v="Europe"/>
    <d v="2022-09-26T00:00:00"/>
    <x v="1"/>
    <n v="0"/>
    <m/>
    <x v="1"/>
    <n v="4"/>
    <n v="2"/>
    <n v="93"/>
    <s v="No"/>
  </r>
  <r>
    <x v="345"/>
    <x v="2"/>
    <x v="0"/>
    <s v="Education"/>
    <x v="4"/>
    <n v="126"/>
    <n v="3930.25"/>
    <s v="Paid Ads"/>
    <s v="North America"/>
    <d v="2025-11-18T00:00:00"/>
    <x v="1"/>
    <n v="0"/>
    <m/>
    <x v="1"/>
    <n v="9"/>
    <n v="8"/>
    <n v="20"/>
    <s v="No"/>
  </r>
  <r>
    <x v="346"/>
    <x v="0"/>
    <x v="1"/>
    <s v="Media"/>
    <x v="0"/>
    <n v="17"/>
    <n v="228.31"/>
    <s v="Organic Search"/>
    <s v="Europe"/>
    <d v="2025-09-25T00:00:00"/>
    <x v="1"/>
    <n v="0"/>
    <m/>
    <x v="1"/>
    <n v="5"/>
    <n v="4"/>
    <n v="21"/>
    <s v="No"/>
  </r>
  <r>
    <x v="347"/>
    <x v="2"/>
    <x v="0"/>
    <s v="Technology"/>
    <x v="0"/>
    <n v="73"/>
    <n v="2348.1999999999998"/>
    <s v="Organic Search"/>
    <s v="Asia Pacific"/>
    <d v="2025-06-05T00:00:00"/>
    <x v="1"/>
    <n v="0"/>
    <m/>
    <x v="1"/>
    <n v="9"/>
    <n v="5"/>
    <n v="74"/>
    <s v="No"/>
  </r>
  <r>
    <x v="348"/>
    <x v="2"/>
    <x v="1"/>
    <s v="Legal"/>
    <x v="2"/>
    <n v="29"/>
    <n v="879.58"/>
    <s v="Paid Ads"/>
    <s v="North America"/>
    <d v="2024-06-14T00:00:00"/>
    <x v="1"/>
    <n v="0"/>
    <m/>
    <x v="1"/>
    <n v="7"/>
    <n v="10"/>
    <n v="33"/>
    <s v="No"/>
  </r>
  <r>
    <x v="349"/>
    <x v="0"/>
    <x v="0"/>
    <s v="Media"/>
    <x v="0"/>
    <n v="59"/>
    <n v="766.3"/>
    <s v="Social Media"/>
    <s v="North America"/>
    <d v="2022-02-27T00:00:00"/>
    <x v="0"/>
    <n v="1"/>
    <d v="2022-10-03T00:00:00"/>
    <x v="3"/>
    <n v="6"/>
    <n v="2"/>
    <n v="21"/>
    <s v="No"/>
  </r>
  <r>
    <x v="350"/>
    <x v="1"/>
    <x v="1"/>
    <s v="Retail"/>
    <x v="3"/>
    <n v="4"/>
    <n v="35.74"/>
    <s v="Paid Ads"/>
    <s v="North America"/>
    <d v="2024-07-21T00:00:00"/>
    <x v="0"/>
    <n v="1"/>
    <d v="2024-12-03T00:00:00"/>
    <x v="7"/>
    <n v="8"/>
    <n v="6"/>
    <n v="47"/>
    <s v="No"/>
  </r>
  <r>
    <x v="351"/>
    <x v="1"/>
    <x v="0"/>
    <s v="Education"/>
    <x v="1"/>
    <n v="130"/>
    <n v="590.15"/>
    <s v="Partner"/>
    <s v="Europe"/>
    <d v="2023-07-18T00:00:00"/>
    <x v="0"/>
    <n v="1"/>
    <d v="2024-05-11T00:00:00"/>
    <x v="4"/>
    <n v="5"/>
    <n v="4"/>
    <n v="23"/>
    <s v="No"/>
  </r>
  <r>
    <x v="352"/>
    <x v="2"/>
    <x v="1"/>
    <s v="Healthcare"/>
    <x v="4"/>
    <n v="61"/>
    <n v="1691.5"/>
    <s v="Social Media"/>
    <s v="Europe"/>
    <d v="2025-04-02T00:00:00"/>
    <x v="0"/>
    <n v="1"/>
    <d v="2025-05-16T00:00:00"/>
    <x v="7"/>
    <n v="15"/>
    <n v="5"/>
    <n v="33"/>
    <s v="No"/>
  </r>
  <r>
    <x v="353"/>
    <x v="2"/>
    <x v="1"/>
    <s v="Finance"/>
    <x v="3"/>
    <n v="8"/>
    <n v="346.76"/>
    <s v="Partner"/>
    <s v="North America"/>
    <d v="2022-06-25T00:00:00"/>
    <x v="0"/>
    <n v="1"/>
    <d v="2024-12-29T00:00:00"/>
    <x v="2"/>
    <n v="10"/>
    <n v="6"/>
    <n v="30"/>
    <s v="No"/>
  </r>
  <r>
    <x v="354"/>
    <x v="1"/>
    <x v="1"/>
    <s v="Healthcare"/>
    <x v="0"/>
    <n v="43"/>
    <n v="179.94"/>
    <s v="Organic Search"/>
    <s v="North America"/>
    <d v="2024-10-27T00:00:00"/>
    <x v="1"/>
    <n v="0"/>
    <m/>
    <x v="1"/>
    <n v="3"/>
    <n v="3"/>
    <n v="63"/>
    <s v="No"/>
  </r>
  <r>
    <x v="355"/>
    <x v="1"/>
    <x v="1"/>
    <s v="Media"/>
    <x v="2"/>
    <n v="6"/>
    <n v="43.14"/>
    <s v="Organic Search"/>
    <s v="North America"/>
    <d v="2022-09-13T00:00:00"/>
    <x v="0"/>
    <n v="1"/>
    <d v="2022-11-05T00:00:00"/>
    <x v="2"/>
    <n v="15"/>
    <n v="3"/>
    <n v="46"/>
    <s v="No"/>
  </r>
  <r>
    <x v="356"/>
    <x v="1"/>
    <x v="1"/>
    <s v="Healthcare"/>
    <x v="4"/>
    <n v="92"/>
    <n v="361.12"/>
    <s v="Organic Search"/>
    <s v="North America"/>
    <d v="2023-01-23T00:00:00"/>
    <x v="0"/>
    <n v="1"/>
    <d v="2023-06-03T00:00:00"/>
    <x v="7"/>
    <n v="13"/>
    <n v="1"/>
    <n v="38"/>
    <s v="No"/>
  </r>
  <r>
    <x v="357"/>
    <x v="1"/>
    <x v="1"/>
    <s v="Consulting"/>
    <x v="0"/>
    <n v="30"/>
    <n v="131.88"/>
    <s v="Referral"/>
    <s v="Europe"/>
    <d v="2025-02-24T00:00:00"/>
    <x v="1"/>
    <n v="0"/>
    <m/>
    <x v="1"/>
    <n v="1"/>
    <n v="7"/>
    <n v="39"/>
    <s v="No"/>
  </r>
  <r>
    <x v="358"/>
    <x v="2"/>
    <x v="0"/>
    <s v="Healthcare"/>
    <x v="4"/>
    <n v="118"/>
    <n v="3691.45"/>
    <s v="Direct Sales"/>
    <s v="Asia Pacific"/>
    <d v="2025-07-03T00:00:00"/>
    <x v="1"/>
    <n v="0"/>
    <m/>
    <x v="1"/>
    <n v="10"/>
    <n v="5"/>
    <n v="87"/>
    <s v="No"/>
  </r>
  <r>
    <x v="359"/>
    <x v="1"/>
    <x v="1"/>
    <s v="Consulting"/>
    <x v="3"/>
    <n v="2"/>
    <n v="28.35"/>
    <s v="Social Media"/>
    <s v="Europe"/>
    <d v="2022-08-07T00:00:00"/>
    <x v="1"/>
    <n v="0"/>
    <m/>
    <x v="1"/>
    <n v="11"/>
    <n v="6"/>
    <n v="20"/>
    <s v="No"/>
  </r>
  <r>
    <x v="360"/>
    <x v="0"/>
    <x v="1"/>
    <s v="Retail"/>
    <x v="3"/>
    <n v="7"/>
    <n v="127.59"/>
    <s v="Paid Ads"/>
    <s v="Europe"/>
    <d v="2024-06-08T00:00:00"/>
    <x v="1"/>
    <n v="0"/>
    <m/>
    <x v="1"/>
    <n v="12"/>
    <n v="7"/>
    <n v="31"/>
    <s v="No"/>
  </r>
  <r>
    <x v="361"/>
    <x v="3"/>
    <x v="0"/>
    <s v="Healthcare"/>
    <x v="0"/>
    <n v="59"/>
    <n v="4840.3"/>
    <s v="Organic Search"/>
    <s v="North America"/>
    <d v="2023-09-21T00:00:00"/>
    <x v="1"/>
    <n v="0"/>
    <m/>
    <x v="1"/>
    <n v="0"/>
    <n v="3"/>
    <n v="90"/>
    <s v="No"/>
  </r>
  <r>
    <x v="362"/>
    <x v="3"/>
    <x v="0"/>
    <s v="Technology"/>
    <x v="3"/>
    <n v="7"/>
    <n v="948.1"/>
    <s v="Social Media"/>
    <s v="North America"/>
    <d v="2024-03-06T00:00:00"/>
    <x v="1"/>
    <n v="0"/>
    <m/>
    <x v="1"/>
    <n v="2"/>
    <n v="6"/>
    <n v="41"/>
    <s v="No"/>
  </r>
  <r>
    <x v="363"/>
    <x v="2"/>
    <x v="0"/>
    <s v="Legal"/>
    <x v="2"/>
    <n v="17"/>
    <n v="676.6"/>
    <s v="Partner"/>
    <s v="North America"/>
    <d v="2022-04-05T00:00:00"/>
    <x v="0"/>
    <n v="1"/>
    <d v="2025-09-20T00:00:00"/>
    <x v="0"/>
    <n v="7"/>
    <n v="4"/>
    <n v="13"/>
    <s v="No"/>
  </r>
  <r>
    <x v="364"/>
    <x v="1"/>
    <x v="0"/>
    <s v="Consulting"/>
    <x v="2"/>
    <n v="14"/>
    <n v="85.55"/>
    <s v="Partner"/>
    <s v="Latin America"/>
    <d v="2024-03-11T00:00:00"/>
    <x v="0"/>
    <n v="1"/>
    <d v="2024-06-07T00:00:00"/>
    <x v="3"/>
    <n v="9"/>
    <n v="2"/>
    <n v="14"/>
    <s v="No"/>
  </r>
  <r>
    <x v="365"/>
    <x v="0"/>
    <x v="0"/>
    <s v="Education"/>
    <x v="0"/>
    <n v="52"/>
    <n v="683.35"/>
    <s v="Paid Ads"/>
    <s v="North America"/>
    <d v="2025-09-28T00:00:00"/>
    <x v="1"/>
    <n v="0"/>
    <m/>
    <x v="1"/>
    <n v="11"/>
    <n v="8"/>
    <n v="17"/>
    <s v="No"/>
  </r>
  <r>
    <x v="366"/>
    <x v="1"/>
    <x v="1"/>
    <s v="Consulting"/>
    <x v="3"/>
    <n v="5"/>
    <n v="39.44"/>
    <s v="Referral"/>
    <s v="North America"/>
    <d v="2023-07-29T00:00:00"/>
    <x v="1"/>
    <n v="0"/>
    <m/>
    <x v="1"/>
    <n v="1"/>
    <n v="3"/>
    <n v="80"/>
    <s v="No"/>
  </r>
  <r>
    <x v="367"/>
    <x v="0"/>
    <x v="1"/>
    <s v="Media"/>
    <x v="2"/>
    <n v="25"/>
    <n v="308.89"/>
    <s v="Partner"/>
    <s v="North America"/>
    <d v="2024-05-17T00:00:00"/>
    <x v="1"/>
    <n v="0"/>
    <m/>
    <x v="1"/>
    <n v="3"/>
    <n v="6"/>
    <n v="92"/>
    <s v="No"/>
  </r>
  <r>
    <x v="368"/>
    <x v="3"/>
    <x v="0"/>
    <s v="Retail"/>
    <x v="2"/>
    <n v="25"/>
    <n v="2295.4"/>
    <s v="Direct Sales"/>
    <s v="North America"/>
    <d v="2025-03-09T00:00:00"/>
    <x v="0"/>
    <n v="1"/>
    <d v="2025-04-28T00:00:00"/>
    <x v="3"/>
    <n v="9"/>
    <n v="6"/>
    <n v="37"/>
    <s v="No"/>
  </r>
  <r>
    <x v="369"/>
    <x v="1"/>
    <x v="0"/>
    <s v="Real Estate"/>
    <x v="4"/>
    <n v="117"/>
    <n v="533.6"/>
    <s v="Organic Search"/>
    <s v="North America"/>
    <d v="2024-07-19T00:00:00"/>
    <x v="0"/>
    <n v="1"/>
    <d v="2025-04-28T00:00:00"/>
    <x v="0"/>
    <n v="8"/>
    <n v="6"/>
    <n v="10"/>
    <s v="No"/>
  </r>
  <r>
    <x v="370"/>
    <x v="1"/>
    <x v="0"/>
    <s v="Consulting"/>
    <x v="0"/>
    <n v="39"/>
    <n v="194.3"/>
    <s v="Referral"/>
    <s v="Latin America"/>
    <d v="2024-03-01T00:00:00"/>
    <x v="0"/>
    <n v="1"/>
    <d v="2024-04-17T00:00:00"/>
    <x v="0"/>
    <n v="13"/>
    <n v="1"/>
    <n v="22"/>
    <s v="No"/>
  </r>
  <r>
    <x v="371"/>
    <x v="2"/>
    <x v="0"/>
    <s v="Legal"/>
    <x v="2"/>
    <n v="29"/>
    <n v="1034.8"/>
    <s v="Paid Ads"/>
    <s v="Asia Pacific"/>
    <d v="2023-02-10T00:00:00"/>
    <x v="0"/>
    <n v="1"/>
    <d v="2025-10-14T00:00:00"/>
    <x v="5"/>
    <n v="12"/>
    <n v="1"/>
    <n v="34"/>
    <s v="No"/>
  </r>
  <r>
    <x v="372"/>
    <x v="2"/>
    <x v="0"/>
    <s v="Finance"/>
    <x v="3"/>
    <n v="4"/>
    <n v="288.55"/>
    <s v="Partner"/>
    <s v="Europe"/>
    <d v="2025-10-29T00:00:00"/>
    <x v="1"/>
    <n v="0"/>
    <m/>
    <x v="1"/>
    <n v="6"/>
    <n v="2"/>
    <n v="63"/>
    <s v="No"/>
  </r>
  <r>
    <x v="373"/>
    <x v="1"/>
    <x v="0"/>
    <s v="Real Estate"/>
    <x v="4"/>
    <n v="139"/>
    <n v="629.29999999999995"/>
    <s v="Paid Ads"/>
    <s v="Asia Pacific"/>
    <d v="2022-01-08T00:00:00"/>
    <x v="0"/>
    <n v="1"/>
    <d v="2022-04-08T00:00:00"/>
    <x v="7"/>
    <n v="10"/>
    <n v="6"/>
    <n v="20"/>
    <s v="No"/>
  </r>
  <r>
    <x v="374"/>
    <x v="1"/>
    <x v="1"/>
    <s v="Legal"/>
    <x v="2"/>
    <n v="16"/>
    <n v="80.11"/>
    <s v="Organic Search"/>
    <s v="Europe"/>
    <d v="2022-05-12T00:00:00"/>
    <x v="0"/>
    <n v="1"/>
    <d v="2023-01-05T00:00:00"/>
    <x v="7"/>
    <n v="7"/>
    <n v="5"/>
    <n v="18"/>
    <s v="No"/>
  </r>
  <r>
    <x v="375"/>
    <x v="3"/>
    <x v="1"/>
    <s v="Healthcare"/>
    <x v="0"/>
    <n v="46"/>
    <n v="3287.16"/>
    <s v="Partner"/>
    <s v="North America"/>
    <d v="2023-03-09T00:00:00"/>
    <x v="0"/>
    <n v="1"/>
    <d v="2024-06-16T00:00:00"/>
    <x v="6"/>
    <n v="12"/>
    <n v="5"/>
    <n v="27"/>
    <s v="No"/>
  </r>
  <r>
    <x v="376"/>
    <x v="1"/>
    <x v="0"/>
    <s v="Legal"/>
    <x v="2"/>
    <n v="26"/>
    <n v="137.75"/>
    <s v="Organic Search"/>
    <s v="Latin America"/>
    <d v="2023-09-22T00:00:00"/>
    <x v="0"/>
    <n v="1"/>
    <d v="2023-12-09T00:00:00"/>
    <x v="2"/>
    <n v="12"/>
    <n v="1"/>
    <n v="33"/>
    <s v="No"/>
  </r>
  <r>
    <x v="377"/>
    <x v="2"/>
    <x v="0"/>
    <s v="Manufacturing"/>
    <x v="2"/>
    <n v="5"/>
    <n v="318.39999999999998"/>
    <s v="Organic Search"/>
    <s v="Asia Pacific"/>
    <d v="2022-05-11T00:00:00"/>
    <x v="0"/>
    <n v="1"/>
    <d v="2023-11-07T00:00:00"/>
    <x v="2"/>
    <n v="10"/>
    <n v="6"/>
    <n v="31"/>
    <s v="No"/>
  </r>
  <r>
    <x v="378"/>
    <x v="1"/>
    <x v="1"/>
    <s v="Technology"/>
    <x v="4"/>
    <n v="62"/>
    <n v="250.2"/>
    <s v="Social Media"/>
    <s v="Asia Pacific"/>
    <d v="2023-07-22T00:00:00"/>
    <x v="0"/>
    <n v="1"/>
    <d v="2023-08-24T00:00:00"/>
    <x v="7"/>
    <n v="13"/>
    <n v="6"/>
    <n v="10"/>
    <s v="No"/>
  </r>
  <r>
    <x v="379"/>
    <x v="2"/>
    <x v="1"/>
    <s v="Manufacturing"/>
    <x v="4"/>
    <n v="150"/>
    <n v="3949.65"/>
    <s v="Organic Search"/>
    <s v="North America"/>
    <d v="2024-04-07T00:00:00"/>
    <x v="1"/>
    <n v="0"/>
    <m/>
    <x v="1"/>
    <n v="7"/>
    <n v="9"/>
    <n v="67"/>
    <s v="No"/>
  </r>
  <r>
    <x v="380"/>
    <x v="1"/>
    <x v="1"/>
    <s v="Real Estate"/>
    <x v="4"/>
    <n v="126"/>
    <n v="486.84"/>
    <s v="Direct Sales"/>
    <s v="Asia Pacific"/>
    <d v="2022-08-26T00:00:00"/>
    <x v="1"/>
    <n v="0"/>
    <m/>
    <x v="1"/>
    <n v="11"/>
    <n v="5"/>
    <n v="74"/>
    <s v="No"/>
  </r>
  <r>
    <x v="381"/>
    <x v="1"/>
    <x v="0"/>
    <s v="Retail"/>
    <x v="2"/>
    <n v="24"/>
    <n v="129.05000000000001"/>
    <s v="Organic Search"/>
    <s v="North America"/>
    <d v="2023-01-14T00:00:00"/>
    <x v="0"/>
    <n v="1"/>
    <d v="2025-09-22T00:00:00"/>
    <x v="0"/>
    <n v="11"/>
    <n v="1"/>
    <n v="16"/>
    <s v="No"/>
  </r>
  <r>
    <x v="382"/>
    <x v="0"/>
    <x v="1"/>
    <s v="Technology"/>
    <x v="3"/>
    <n v="4"/>
    <n v="97.37"/>
    <s v="Referral"/>
    <s v="North America"/>
    <d v="2025-02-27T00:00:00"/>
    <x v="0"/>
    <n v="1"/>
    <d v="2025-11-09T00:00:00"/>
    <x v="3"/>
    <n v="0"/>
    <n v="4"/>
    <n v="29"/>
    <s v="No"/>
  </r>
  <r>
    <x v="383"/>
    <x v="3"/>
    <x v="0"/>
    <s v="Consulting"/>
    <x v="4"/>
    <n v="141"/>
    <n v="10978"/>
    <s v="Paid Ads"/>
    <s v="Europe"/>
    <d v="2022-09-24T00:00:00"/>
    <x v="1"/>
    <n v="0"/>
    <m/>
    <x v="1"/>
    <n v="6"/>
    <n v="2"/>
    <n v="49"/>
    <s v="No"/>
  </r>
  <r>
    <x v="384"/>
    <x v="1"/>
    <x v="1"/>
    <s v="Retail"/>
    <x v="4"/>
    <n v="142"/>
    <n v="546"/>
    <s v="Paid Ads"/>
    <s v="North America"/>
    <d v="2023-09-02T00:00:00"/>
    <x v="0"/>
    <n v="1"/>
    <d v="2023-09-30T00:00:00"/>
    <x v="6"/>
    <n v="13"/>
    <n v="2"/>
    <n v="31"/>
    <s v="No"/>
  </r>
  <r>
    <x v="385"/>
    <x v="0"/>
    <x v="0"/>
    <s v="Real Estate"/>
    <x v="3"/>
    <n v="4"/>
    <n v="114.55"/>
    <s v="Referral"/>
    <s v="Latin America"/>
    <d v="2025-08-20T00:00:00"/>
    <x v="0"/>
    <n v="1"/>
    <d v="2025-12-13T00:00:00"/>
    <x v="4"/>
    <n v="7"/>
    <n v="1"/>
    <n v="24"/>
    <s v="No"/>
  </r>
  <r>
    <x v="386"/>
    <x v="1"/>
    <x v="0"/>
    <s v="Legal"/>
    <x v="3"/>
    <n v="3"/>
    <n v="37.700000000000003"/>
    <s v="Referral"/>
    <s v="North America"/>
    <d v="2023-07-30T00:00:00"/>
    <x v="0"/>
    <n v="1"/>
    <d v="2023-12-10T00:00:00"/>
    <x v="0"/>
    <n v="11"/>
    <n v="1"/>
    <n v="46"/>
    <s v="No"/>
  </r>
  <r>
    <x v="387"/>
    <x v="0"/>
    <x v="1"/>
    <s v="Consulting"/>
    <x v="2"/>
    <n v="31"/>
    <n v="369.33"/>
    <s v="Partner"/>
    <s v="Asia Pacific"/>
    <d v="2023-05-25T00:00:00"/>
    <x v="1"/>
    <n v="0"/>
    <m/>
    <x v="1"/>
    <n v="11"/>
    <n v="4"/>
    <n v="66"/>
    <s v="No"/>
  </r>
  <r>
    <x v="388"/>
    <x v="0"/>
    <x v="1"/>
    <s v="Media"/>
    <x v="4"/>
    <n v="94"/>
    <n v="1003.89"/>
    <s v="Referral"/>
    <s v="Latin America"/>
    <d v="2024-06-27T00:00:00"/>
    <x v="1"/>
    <n v="0"/>
    <m/>
    <x v="1"/>
    <n v="7"/>
    <n v="7"/>
    <n v="62"/>
    <s v="No"/>
  </r>
  <r>
    <x v="389"/>
    <x v="0"/>
    <x v="0"/>
    <s v="Manufacturing"/>
    <x v="4"/>
    <n v="38"/>
    <n v="517.45000000000005"/>
    <s v="Paid Ads"/>
    <s v="North America"/>
    <d v="2023-05-13T00:00:00"/>
    <x v="0"/>
    <n v="1"/>
    <d v="2024-07-27T00:00:00"/>
    <x v="2"/>
    <n v="4"/>
    <n v="4"/>
    <n v="44"/>
    <s v="No"/>
  </r>
  <r>
    <x v="390"/>
    <x v="1"/>
    <x v="1"/>
    <s v="Manufacturing"/>
    <x v="3"/>
    <n v="8"/>
    <n v="50.53"/>
    <s v="Paid Ads"/>
    <s v="Europe"/>
    <d v="2022-10-31T00:00:00"/>
    <x v="0"/>
    <n v="1"/>
    <d v="2024-06-10T00:00:00"/>
    <x v="6"/>
    <n v="2"/>
    <n v="6"/>
    <n v="17"/>
    <s v="No"/>
  </r>
  <r>
    <x v="391"/>
    <x v="1"/>
    <x v="0"/>
    <s v="Media"/>
    <x v="2"/>
    <n v="19"/>
    <n v="107.3"/>
    <s v="Paid Ads"/>
    <s v="North America"/>
    <d v="2024-03-10T00:00:00"/>
    <x v="0"/>
    <n v="1"/>
    <d v="2024-05-06T00:00:00"/>
    <x v="7"/>
    <n v="9"/>
    <n v="5"/>
    <n v="18"/>
    <s v="No"/>
  </r>
  <r>
    <x v="392"/>
    <x v="0"/>
    <x v="0"/>
    <s v="Media"/>
    <x v="0"/>
    <n v="39"/>
    <n v="529.29999999999995"/>
    <s v="Direct Sales"/>
    <s v="North America"/>
    <d v="2025-02-13T00:00:00"/>
    <x v="1"/>
    <n v="0"/>
    <m/>
    <x v="1"/>
    <n v="1"/>
    <n v="10"/>
    <n v="49"/>
    <s v="No"/>
  </r>
  <r>
    <x v="393"/>
    <x v="0"/>
    <x v="1"/>
    <s v="Real Estate"/>
    <x v="2"/>
    <n v="19"/>
    <n v="248.46"/>
    <s v="Organic Search"/>
    <s v="North America"/>
    <d v="2024-03-28T00:00:00"/>
    <x v="1"/>
    <n v="0"/>
    <m/>
    <x v="1"/>
    <n v="5"/>
    <n v="6"/>
    <n v="23"/>
    <s v="No"/>
  </r>
  <r>
    <x v="394"/>
    <x v="2"/>
    <x v="0"/>
    <s v="Finance"/>
    <x v="3"/>
    <n v="4"/>
    <n v="288.55"/>
    <s v="Organic Search"/>
    <s v="Europe"/>
    <d v="2024-03-12T00:00:00"/>
    <x v="1"/>
    <n v="0"/>
    <m/>
    <x v="1"/>
    <n v="0"/>
    <n v="4"/>
    <n v="39"/>
    <s v="No"/>
  </r>
  <r>
    <x v="395"/>
    <x v="0"/>
    <x v="0"/>
    <s v="Education"/>
    <x v="3"/>
    <n v="7"/>
    <n v="150.1"/>
    <s v="Referral"/>
    <s v="Europe"/>
    <d v="2023-10-18T00:00:00"/>
    <x v="1"/>
    <n v="0"/>
    <m/>
    <x v="1"/>
    <n v="3"/>
    <n v="7"/>
    <n v="73"/>
    <s v="No"/>
  </r>
  <r>
    <x v="396"/>
    <x v="1"/>
    <x v="1"/>
    <s v="Real Estate"/>
    <x v="2"/>
    <n v="5"/>
    <n v="39.44"/>
    <s v="Organic Search"/>
    <s v="Europe"/>
    <d v="2024-08-14T00:00:00"/>
    <x v="0"/>
    <n v="1"/>
    <d v="2024-10-27T00:00:00"/>
    <x v="5"/>
    <n v="2"/>
    <n v="1"/>
    <n v="39"/>
    <s v="No"/>
  </r>
  <r>
    <x v="397"/>
    <x v="2"/>
    <x v="1"/>
    <s v="Finance"/>
    <x v="1"/>
    <n v="252"/>
    <n v="6537.65"/>
    <s v="Organic Search"/>
    <s v="North America"/>
    <d v="2023-04-28T00:00:00"/>
    <x v="0"/>
    <n v="1"/>
    <d v="2023-05-22T00:00:00"/>
    <x v="0"/>
    <n v="9"/>
    <n v="6"/>
    <n v="44"/>
    <s v="No"/>
  </r>
  <r>
    <x v="398"/>
    <x v="2"/>
    <x v="1"/>
    <s v="Real Estate"/>
    <x v="4"/>
    <n v="86"/>
    <n v="2325.81"/>
    <s v="Paid Ads"/>
    <s v="North America"/>
    <d v="2023-10-10T00:00:00"/>
    <x v="0"/>
    <n v="1"/>
    <d v="2025-11-23T00:00:00"/>
    <x v="3"/>
    <n v="0"/>
    <n v="2"/>
    <n v="11"/>
    <s v="No"/>
  </r>
  <r>
    <x v="399"/>
    <x v="1"/>
    <x v="1"/>
    <s v="Education"/>
    <x v="3"/>
    <n v="5"/>
    <n v="39.44"/>
    <s v="Partner"/>
    <s v="North America"/>
    <d v="2022-07-29T00:00:00"/>
    <x v="0"/>
    <n v="1"/>
    <d v="2024-07-19T00:00:00"/>
    <x v="4"/>
    <n v="3"/>
    <n v="1"/>
    <n v="34"/>
    <s v="No"/>
  </r>
  <r>
    <x v="400"/>
    <x v="2"/>
    <x v="1"/>
    <s v="Healthcare"/>
    <x v="3"/>
    <n v="7"/>
    <n v="321.38"/>
    <s v="Organic Search"/>
    <s v="North America"/>
    <d v="2024-11-06T00:00:00"/>
    <x v="1"/>
    <n v="0"/>
    <m/>
    <x v="1"/>
    <n v="9"/>
    <n v="9"/>
    <n v="30"/>
    <s v="No"/>
  </r>
  <r>
    <x v="401"/>
    <x v="0"/>
    <x v="1"/>
    <s v="Media"/>
    <x v="0"/>
    <n v="34"/>
    <n v="399.54"/>
    <s v="Referral"/>
    <s v="Europe"/>
    <d v="2022-04-04T00:00:00"/>
    <x v="0"/>
    <n v="1"/>
    <d v="2024-08-24T00:00:00"/>
    <x v="5"/>
    <n v="14"/>
    <n v="1"/>
    <n v="34"/>
    <s v="No"/>
  </r>
  <r>
    <x v="402"/>
    <x v="2"/>
    <x v="0"/>
    <s v="Consulting"/>
    <x v="3"/>
    <n v="8"/>
    <n v="407.95"/>
    <s v="Organic Search"/>
    <s v="North America"/>
    <d v="2023-01-22T00:00:00"/>
    <x v="0"/>
    <n v="1"/>
    <d v="2024-08-27T00:00:00"/>
    <x v="2"/>
    <n v="13"/>
    <n v="5"/>
    <n v="25"/>
    <s v="No"/>
  </r>
  <r>
    <x v="403"/>
    <x v="2"/>
    <x v="0"/>
    <s v="Healthcare"/>
    <x v="0"/>
    <n v="43"/>
    <n v="1452.7"/>
    <s v="Partner"/>
    <s v="North America"/>
    <d v="2025-09-25T00:00:00"/>
    <x v="1"/>
    <n v="0"/>
    <m/>
    <x v="1"/>
    <n v="4"/>
    <n v="5"/>
    <n v="79"/>
    <s v="No"/>
  </r>
  <r>
    <x v="404"/>
    <x v="2"/>
    <x v="0"/>
    <s v="Manufacturing"/>
    <x v="2"/>
    <n v="7"/>
    <n v="378.1"/>
    <s v="Paid Ads"/>
    <s v="North America"/>
    <d v="2025-02-23T00:00:00"/>
    <x v="1"/>
    <n v="0"/>
    <m/>
    <x v="1"/>
    <n v="11"/>
    <n v="1"/>
    <n v="29"/>
    <s v="Yes"/>
  </r>
  <r>
    <x v="405"/>
    <x v="2"/>
    <x v="0"/>
    <s v="Retail"/>
    <x v="0"/>
    <n v="29"/>
    <n v="1034.8"/>
    <s v="Direct Sales"/>
    <s v="North America"/>
    <d v="2023-02-22T00:00:00"/>
    <x v="0"/>
    <n v="1"/>
    <d v="2025-09-29T00:00:00"/>
    <x v="7"/>
    <n v="14"/>
    <n v="4"/>
    <n v="41"/>
    <s v="No"/>
  </r>
  <r>
    <x v="406"/>
    <x v="0"/>
    <x v="1"/>
    <s v="Consulting"/>
    <x v="1"/>
    <n v="115"/>
    <n v="1215.4100000000001"/>
    <s v="Referral"/>
    <s v="Europe"/>
    <d v="2022-09-12T00:00:00"/>
    <x v="0"/>
    <n v="1"/>
    <d v="2023-04-03T00:00:00"/>
    <x v="7"/>
    <n v="7"/>
    <n v="4"/>
    <n v="48"/>
    <s v="No"/>
  </r>
  <r>
    <x v="407"/>
    <x v="1"/>
    <x v="0"/>
    <s v="Finance"/>
    <x v="0"/>
    <n v="75"/>
    <n v="350.9"/>
    <s v="Paid Ads"/>
    <s v="North America"/>
    <d v="2025-10-14T00:00:00"/>
    <x v="1"/>
    <n v="0"/>
    <m/>
    <x v="1"/>
    <n v="10"/>
    <n v="8"/>
    <n v="92"/>
    <s v="No"/>
  </r>
  <r>
    <x v="408"/>
    <x v="1"/>
    <x v="0"/>
    <s v="Manufacturing"/>
    <x v="3"/>
    <n v="8"/>
    <n v="59.45"/>
    <s v="Referral"/>
    <s v="North America"/>
    <d v="2025-04-01T00:00:00"/>
    <x v="0"/>
    <n v="1"/>
    <d v="2025-04-19T00:00:00"/>
    <x v="2"/>
    <n v="11"/>
    <n v="2"/>
    <n v="27"/>
    <s v="No"/>
  </r>
  <r>
    <x v="409"/>
    <x v="0"/>
    <x v="0"/>
    <s v="Legal"/>
    <x v="4"/>
    <n v="125"/>
    <n v="1548.4"/>
    <s v="Referral"/>
    <s v="North America"/>
    <d v="2022-03-17T00:00:00"/>
    <x v="0"/>
    <n v="1"/>
    <d v="2023-06-19T00:00:00"/>
    <x v="0"/>
    <n v="14"/>
    <n v="4"/>
    <n v="12"/>
    <s v="No"/>
  </r>
  <r>
    <x v="410"/>
    <x v="0"/>
    <x v="0"/>
    <s v="Finance"/>
    <x v="4"/>
    <n v="92"/>
    <n v="1157.3499999999999"/>
    <s v="Paid Ads"/>
    <s v="Europe"/>
    <d v="2024-08-28T00:00:00"/>
    <x v="0"/>
    <n v="1"/>
    <d v="2025-10-02T00:00:00"/>
    <x v="0"/>
    <n v="13"/>
    <n v="1"/>
    <n v="18"/>
    <s v="No"/>
  </r>
  <r>
    <x v="411"/>
    <x v="0"/>
    <x v="0"/>
    <s v="Healthcare"/>
    <x v="0"/>
    <n v="45"/>
    <n v="600.4"/>
    <s v="Paid Ads"/>
    <s v="North America"/>
    <d v="2022-11-25T00:00:00"/>
    <x v="0"/>
    <n v="1"/>
    <d v="2023-05-25T00:00:00"/>
    <x v="6"/>
    <n v="8"/>
    <n v="4"/>
    <n v="24"/>
    <s v="No"/>
  </r>
  <r>
    <x v="412"/>
    <x v="2"/>
    <x v="1"/>
    <s v="Real Estate"/>
    <x v="4"/>
    <n v="49"/>
    <n v="1387.03"/>
    <s v="Partner"/>
    <s v="Asia Pacific"/>
    <d v="2022-10-13T00:00:00"/>
    <x v="1"/>
    <n v="0"/>
    <m/>
    <x v="1"/>
    <n v="0"/>
    <n v="9"/>
    <n v="95"/>
    <s v="No"/>
  </r>
  <r>
    <x v="413"/>
    <x v="2"/>
    <x v="0"/>
    <s v="Real Estate"/>
    <x v="4"/>
    <n v="137"/>
    <n v="4258.6000000000004"/>
    <s v="Referral"/>
    <s v="Asia Pacific"/>
    <d v="2023-07-23T00:00:00"/>
    <x v="0"/>
    <n v="1"/>
    <d v="2024-08-12T00:00:00"/>
    <x v="7"/>
    <n v="15"/>
    <n v="1"/>
    <n v="25"/>
    <s v="No"/>
  </r>
  <r>
    <x v="414"/>
    <x v="1"/>
    <x v="0"/>
    <s v="Retail"/>
    <x v="2"/>
    <n v="13"/>
    <n v="81.2"/>
    <s v="Social Media"/>
    <s v="Europe"/>
    <d v="2024-09-08T00:00:00"/>
    <x v="0"/>
    <n v="1"/>
    <d v="2024-10-15T00:00:00"/>
    <x v="3"/>
    <n v="7"/>
    <n v="3"/>
    <n v="45"/>
    <s v="No"/>
  </r>
  <r>
    <x v="415"/>
    <x v="2"/>
    <x v="1"/>
    <s v="Manufacturing"/>
    <x v="2"/>
    <n v="14"/>
    <n v="498.99"/>
    <s v="Social Media"/>
    <s v="Europe"/>
    <d v="2025-02-18T00:00:00"/>
    <x v="0"/>
    <n v="1"/>
    <d v="2025-05-18T00:00:00"/>
    <x v="7"/>
    <n v="13"/>
    <n v="1"/>
    <n v="33"/>
    <s v="No"/>
  </r>
  <r>
    <x v="416"/>
    <x v="1"/>
    <x v="1"/>
    <s v="Real Estate"/>
    <x v="2"/>
    <n v="18"/>
    <n v="87.51"/>
    <s v="Organic Search"/>
    <s v="Latin America"/>
    <d v="2024-08-17T00:00:00"/>
    <x v="0"/>
    <n v="1"/>
    <d v="2024-10-30T00:00:00"/>
    <x v="0"/>
    <n v="10"/>
    <n v="1"/>
    <n v="36"/>
    <s v="No"/>
  </r>
  <r>
    <x v="417"/>
    <x v="1"/>
    <x v="0"/>
    <s v="Consulting"/>
    <x v="3"/>
    <n v="2"/>
    <n v="33.35"/>
    <s v="Social Media"/>
    <s v="Latin America"/>
    <d v="2022-10-05T00:00:00"/>
    <x v="0"/>
    <n v="1"/>
    <d v="2023-07-03T00:00:00"/>
    <x v="3"/>
    <n v="11"/>
    <n v="1"/>
    <n v="37"/>
    <s v="No"/>
  </r>
  <r>
    <x v="418"/>
    <x v="0"/>
    <x v="1"/>
    <s v="Manufacturing"/>
    <x v="4"/>
    <n v="143"/>
    <n v="1497.45"/>
    <s v="Organic Search"/>
    <s v="Europe"/>
    <d v="2022-04-04T00:00:00"/>
    <x v="1"/>
    <n v="0"/>
    <m/>
    <x v="1"/>
    <n v="2"/>
    <n v="9"/>
    <n v="29"/>
    <s v="Yes"/>
  </r>
  <r>
    <x v="419"/>
    <x v="0"/>
    <x v="0"/>
    <s v="Retail"/>
    <x v="3"/>
    <n v="8"/>
    <n v="161.94999999999999"/>
    <s v="Referral"/>
    <s v="North America"/>
    <d v="2022-03-07T00:00:00"/>
    <x v="0"/>
    <n v="1"/>
    <d v="2024-02-27T00:00:00"/>
    <x v="7"/>
    <n v="7"/>
    <n v="2"/>
    <n v="10"/>
    <s v="No"/>
  </r>
  <r>
    <x v="420"/>
    <x v="0"/>
    <x v="0"/>
    <s v="Manufacturing"/>
    <x v="1"/>
    <n v="185"/>
    <n v="2259.4"/>
    <s v="Paid Ads"/>
    <s v="North America"/>
    <d v="2022-09-26T00:00:00"/>
    <x v="0"/>
    <n v="1"/>
    <d v="2023-01-27T00:00:00"/>
    <x v="2"/>
    <n v="10"/>
    <n v="6"/>
    <n v="29"/>
    <s v="No"/>
  </r>
  <r>
    <x v="421"/>
    <x v="0"/>
    <x v="0"/>
    <s v="Consulting"/>
    <x v="0"/>
    <n v="59"/>
    <n v="766.3"/>
    <s v="Social Media"/>
    <s v="North America"/>
    <d v="2023-04-14T00:00:00"/>
    <x v="1"/>
    <n v="0"/>
    <m/>
    <x v="1"/>
    <n v="3"/>
    <n v="7"/>
    <n v="92"/>
    <s v="Yes"/>
  </r>
  <r>
    <x v="422"/>
    <x v="1"/>
    <x v="0"/>
    <s v="Manufacturing"/>
    <x v="2"/>
    <n v="15"/>
    <n v="89.9"/>
    <s v="Referral"/>
    <s v="Europe"/>
    <d v="2023-10-29T00:00:00"/>
    <x v="0"/>
    <n v="1"/>
    <d v="2024-06-25T00:00:00"/>
    <x v="0"/>
    <n v="4"/>
    <n v="5"/>
    <n v="20"/>
    <s v="No"/>
  </r>
  <r>
    <x v="423"/>
    <x v="1"/>
    <x v="0"/>
    <s v="Media"/>
    <x v="3"/>
    <n v="5"/>
    <n v="46.4"/>
    <s v="Referral"/>
    <s v="Europe"/>
    <d v="2023-04-25T00:00:00"/>
    <x v="0"/>
    <n v="1"/>
    <d v="2024-08-21T00:00:00"/>
    <x v="4"/>
    <n v="11"/>
    <n v="6"/>
    <n v="50"/>
    <s v="No"/>
  </r>
  <r>
    <x v="424"/>
    <x v="1"/>
    <x v="0"/>
    <s v="Technology"/>
    <x v="3"/>
    <n v="6"/>
    <n v="50.75"/>
    <s v="Referral"/>
    <s v="Asia Pacific"/>
    <d v="2025-03-15T00:00:00"/>
    <x v="0"/>
    <n v="1"/>
    <d v="2025-07-31T00:00:00"/>
    <x v="6"/>
    <n v="6"/>
    <n v="2"/>
    <n v="22"/>
    <s v="No"/>
  </r>
  <r>
    <x v="425"/>
    <x v="2"/>
    <x v="0"/>
    <s v="Education"/>
    <x v="3"/>
    <n v="7"/>
    <n v="378.1"/>
    <s v="Organic Search"/>
    <s v="North America"/>
    <d v="2024-03-06T00:00:00"/>
    <x v="1"/>
    <n v="0"/>
    <m/>
    <x v="1"/>
    <n v="10"/>
    <n v="10"/>
    <n v="68"/>
    <s v="Yes"/>
  </r>
  <r>
    <x v="426"/>
    <x v="1"/>
    <x v="1"/>
    <s v="Real Estate"/>
    <x v="0"/>
    <n v="79"/>
    <n v="313.05"/>
    <s v="Paid Ads"/>
    <s v="Latin America"/>
    <d v="2024-12-25T00:00:00"/>
    <x v="1"/>
    <n v="0"/>
    <m/>
    <x v="1"/>
    <n v="6"/>
    <n v="7"/>
    <n v="37"/>
    <s v="No"/>
  </r>
  <r>
    <x v="427"/>
    <x v="1"/>
    <x v="0"/>
    <s v="Real Estate"/>
    <x v="2"/>
    <n v="11"/>
    <n v="72.5"/>
    <s v="Organic Search"/>
    <s v="North America"/>
    <d v="2025-10-18T00:00:00"/>
    <x v="1"/>
    <n v="0"/>
    <m/>
    <x v="1"/>
    <n v="1"/>
    <n v="4"/>
    <n v="24"/>
    <s v="No"/>
  </r>
  <r>
    <x v="428"/>
    <x v="0"/>
    <x v="0"/>
    <s v="Media"/>
    <x v="2"/>
    <n v="15"/>
    <n v="244.9"/>
    <s v="Paid Ads"/>
    <s v="Europe"/>
    <d v="2025-06-09T00:00:00"/>
    <x v="1"/>
    <n v="0"/>
    <m/>
    <x v="1"/>
    <n v="8"/>
    <n v="5"/>
    <n v="32"/>
    <s v="No"/>
  </r>
  <r>
    <x v="429"/>
    <x v="2"/>
    <x v="0"/>
    <s v="Education"/>
    <x v="2"/>
    <n v="20"/>
    <n v="766.15"/>
    <s v="Referral"/>
    <s v="Europe"/>
    <d v="2025-11-05T00:00:00"/>
    <x v="1"/>
    <n v="0"/>
    <m/>
    <x v="1"/>
    <n v="2"/>
    <n v="9"/>
    <n v="39"/>
    <s v="No"/>
  </r>
  <r>
    <x v="430"/>
    <x v="1"/>
    <x v="1"/>
    <s v="Real Estate"/>
    <x v="2"/>
    <n v="27"/>
    <n v="120.78"/>
    <s v="Organic Search"/>
    <s v="Asia Pacific"/>
    <d v="2025-10-03T00:00:00"/>
    <x v="1"/>
    <n v="0"/>
    <m/>
    <x v="1"/>
    <n v="3"/>
    <n v="8"/>
    <n v="22"/>
    <s v="No"/>
  </r>
  <r>
    <x v="431"/>
    <x v="0"/>
    <x v="1"/>
    <s v="Education"/>
    <x v="0"/>
    <n v="28"/>
    <n v="339.11"/>
    <s v="Organic Search"/>
    <s v="North America"/>
    <d v="2025-05-10T00:00:00"/>
    <x v="1"/>
    <n v="0"/>
    <m/>
    <x v="1"/>
    <n v="2"/>
    <n v="1"/>
    <n v="51"/>
    <s v="No"/>
  </r>
  <r>
    <x v="432"/>
    <x v="3"/>
    <x v="0"/>
    <s v="Real Estate"/>
    <x v="2"/>
    <n v="25"/>
    <n v="2295.4"/>
    <s v="Organic Search"/>
    <s v="North America"/>
    <d v="2023-08-13T00:00:00"/>
    <x v="0"/>
    <n v="1"/>
    <d v="2024-02-25T00:00:00"/>
    <x v="6"/>
    <n v="1"/>
    <n v="1"/>
    <n v="34"/>
    <s v="No"/>
  </r>
  <r>
    <x v="433"/>
    <x v="1"/>
    <x v="1"/>
    <s v="Real Estate"/>
    <x v="1"/>
    <n v="222"/>
    <n v="841.8"/>
    <s v="Referral"/>
    <s v="North America"/>
    <d v="2022-10-17T00:00:00"/>
    <x v="0"/>
    <n v="1"/>
    <d v="2024-12-05T00:00:00"/>
    <x v="2"/>
    <n v="8"/>
    <n v="2"/>
    <n v="47"/>
    <s v="No"/>
  </r>
  <r>
    <x v="434"/>
    <x v="1"/>
    <x v="0"/>
    <s v="Retail"/>
    <x v="3"/>
    <n v="4"/>
    <n v="42.05"/>
    <s v="Referral"/>
    <s v="Latin America"/>
    <d v="2023-02-09T00:00:00"/>
    <x v="0"/>
    <n v="1"/>
    <d v="2023-08-27T00:00:00"/>
    <x v="2"/>
    <n v="5"/>
    <n v="3"/>
    <n v="10"/>
    <s v="No"/>
  </r>
  <r>
    <x v="435"/>
    <x v="2"/>
    <x v="1"/>
    <s v="Finance"/>
    <x v="0"/>
    <n v="48"/>
    <n v="1361.66"/>
    <s v="Paid Ads"/>
    <s v="Latin America"/>
    <d v="2022-12-11T00:00:00"/>
    <x v="0"/>
    <n v="1"/>
    <d v="2024-11-04T00:00:00"/>
    <x v="5"/>
    <n v="7"/>
    <n v="1"/>
    <n v="28"/>
    <s v="No"/>
  </r>
  <r>
    <x v="436"/>
    <x v="1"/>
    <x v="0"/>
    <s v="Education"/>
    <x v="2"/>
    <n v="6"/>
    <n v="50.75"/>
    <s v="Referral"/>
    <s v="Asia Pacific"/>
    <d v="2023-04-10T00:00:00"/>
    <x v="0"/>
    <n v="1"/>
    <d v="2023-06-09T00:00:00"/>
    <x v="2"/>
    <n v="5"/>
    <n v="3"/>
    <n v="18"/>
    <s v="No"/>
  </r>
  <r>
    <x v="437"/>
    <x v="1"/>
    <x v="1"/>
    <s v="Technology"/>
    <x v="0"/>
    <n v="44"/>
    <n v="183.64"/>
    <s v="Paid Ads"/>
    <s v="Europe"/>
    <d v="2024-11-01T00:00:00"/>
    <x v="0"/>
    <n v="1"/>
    <d v="2024-11-03T00:00:00"/>
    <x v="0"/>
    <n v="5"/>
    <n v="6"/>
    <n v="31"/>
    <s v="No"/>
  </r>
  <r>
    <x v="438"/>
    <x v="2"/>
    <x v="0"/>
    <s v="Consulting"/>
    <x v="1"/>
    <n v="62"/>
    <n v="2019.85"/>
    <s v="Direct Sales"/>
    <s v="Europe"/>
    <d v="2025-06-08T00:00:00"/>
    <x v="0"/>
    <n v="1"/>
    <d v="2025-07-18T00:00:00"/>
    <x v="5"/>
    <n v="9"/>
    <n v="4"/>
    <n v="34"/>
    <s v="No"/>
  </r>
  <r>
    <x v="439"/>
    <x v="2"/>
    <x v="1"/>
    <s v="Healthcare"/>
    <x v="3"/>
    <n v="8"/>
    <n v="346.76"/>
    <s v="Referral"/>
    <s v="Latin America"/>
    <d v="2025-12-01T00:00:00"/>
    <x v="1"/>
    <n v="0"/>
    <m/>
    <x v="1"/>
    <n v="1"/>
    <n v="10"/>
    <n v="50"/>
    <s v="No"/>
  </r>
  <r>
    <x v="440"/>
    <x v="0"/>
    <x v="1"/>
    <s v="Real Estate"/>
    <x v="4"/>
    <n v="88"/>
    <n v="943.46"/>
    <s v="Paid Ads"/>
    <s v="North America"/>
    <d v="2023-08-13T00:00:00"/>
    <x v="0"/>
    <n v="1"/>
    <d v="2024-01-17T00:00:00"/>
    <x v="3"/>
    <n v="8"/>
    <n v="4"/>
    <n v="44"/>
    <s v="No"/>
  </r>
  <r>
    <x v="441"/>
    <x v="2"/>
    <x v="1"/>
    <s v="Healthcare"/>
    <x v="0"/>
    <n v="54"/>
    <n v="1513.89"/>
    <s v="Paid Ads"/>
    <s v="Asia Pacific"/>
    <d v="2024-04-05T00:00:00"/>
    <x v="1"/>
    <n v="0"/>
    <m/>
    <x v="1"/>
    <n v="10"/>
    <n v="10"/>
    <n v="33"/>
    <s v="Yes"/>
  </r>
  <r>
    <x v="442"/>
    <x v="0"/>
    <x v="0"/>
    <s v="Legal"/>
    <x v="0"/>
    <n v="58"/>
    <n v="754.45"/>
    <s v="Organic Search"/>
    <s v="North America"/>
    <d v="2023-06-28T00:00:00"/>
    <x v="1"/>
    <n v="0"/>
    <m/>
    <x v="1"/>
    <n v="11"/>
    <n v="5"/>
    <n v="84"/>
    <s v="No"/>
  </r>
  <r>
    <x v="443"/>
    <x v="2"/>
    <x v="0"/>
    <s v="Education"/>
    <x v="3"/>
    <n v="5"/>
    <n v="318.39999999999998"/>
    <s v="Organic Search"/>
    <s v="Latin America"/>
    <d v="2023-10-24T00:00:00"/>
    <x v="1"/>
    <n v="0"/>
    <m/>
    <x v="1"/>
    <n v="9"/>
    <n v="9"/>
    <n v="59"/>
    <s v="Yes"/>
  </r>
  <r>
    <x v="444"/>
    <x v="1"/>
    <x v="0"/>
    <s v="Real Estate"/>
    <x v="1"/>
    <n v="254"/>
    <n v="1129.55"/>
    <s v="Referral"/>
    <s v="North America"/>
    <d v="2025-05-02T00:00:00"/>
    <x v="1"/>
    <n v="0"/>
    <m/>
    <x v="1"/>
    <n v="2"/>
    <n v="7"/>
    <n v="42"/>
    <s v="No"/>
  </r>
  <r>
    <x v="445"/>
    <x v="2"/>
    <x v="0"/>
    <s v="Technology"/>
    <x v="0"/>
    <n v="30"/>
    <n v="1064.6500000000001"/>
    <s v="Paid Ads"/>
    <s v="Europe"/>
    <d v="2023-05-26T00:00:00"/>
    <x v="0"/>
    <n v="1"/>
    <d v="2024-03-13T00:00:00"/>
    <x v="0"/>
    <n v="10"/>
    <n v="3"/>
    <n v="44"/>
    <s v="No"/>
  </r>
  <r>
    <x v="446"/>
    <x v="1"/>
    <x v="0"/>
    <s v="Technology"/>
    <x v="3"/>
    <n v="5"/>
    <n v="46.4"/>
    <s v="Direct Sales"/>
    <s v="Asia Pacific"/>
    <d v="2023-10-17T00:00:00"/>
    <x v="1"/>
    <n v="0"/>
    <m/>
    <x v="1"/>
    <n v="0"/>
    <n v="9"/>
    <n v="46"/>
    <s v="No"/>
  </r>
  <r>
    <x v="447"/>
    <x v="2"/>
    <x v="0"/>
    <s v="Education"/>
    <x v="2"/>
    <n v="31"/>
    <n v="1094.5"/>
    <s v="Paid Ads"/>
    <s v="North America"/>
    <d v="2025-01-01T00:00:00"/>
    <x v="1"/>
    <n v="0"/>
    <m/>
    <x v="1"/>
    <n v="1"/>
    <n v="9"/>
    <n v="69"/>
    <s v="No"/>
  </r>
  <r>
    <x v="448"/>
    <x v="2"/>
    <x v="0"/>
    <s v="Healthcare"/>
    <x v="1"/>
    <n v="71"/>
    <n v="2288.5"/>
    <s v="Paid Ads"/>
    <s v="Europe"/>
    <d v="2024-02-12T00:00:00"/>
    <x v="0"/>
    <n v="1"/>
    <d v="2024-03-09T00:00:00"/>
    <x v="6"/>
    <n v="7"/>
    <n v="2"/>
    <n v="24"/>
    <s v="No"/>
  </r>
  <r>
    <x v="449"/>
    <x v="0"/>
    <x v="1"/>
    <s v="Retail"/>
    <x v="2"/>
    <n v="8"/>
    <n v="137.66"/>
    <s v="Partner"/>
    <s v="North America"/>
    <d v="2025-12-28T00:00:00"/>
    <x v="1"/>
    <n v="0"/>
    <m/>
    <x v="1"/>
    <n v="0"/>
    <n v="8"/>
    <n v="38"/>
    <s v="No"/>
  </r>
  <r>
    <x v="450"/>
    <x v="2"/>
    <x v="0"/>
    <s v="Legal"/>
    <x v="2"/>
    <n v="27"/>
    <n v="975.1"/>
    <s v="Partner"/>
    <s v="North America"/>
    <d v="2023-03-01T00:00:00"/>
    <x v="1"/>
    <n v="0"/>
    <m/>
    <x v="1"/>
    <n v="3"/>
    <n v="4"/>
    <n v="89"/>
    <s v="No"/>
  </r>
  <r>
    <x v="451"/>
    <x v="0"/>
    <x v="0"/>
    <s v="Technology"/>
    <x v="2"/>
    <n v="12"/>
    <n v="209.35"/>
    <s v="Paid Ads"/>
    <s v="North America"/>
    <d v="2025-06-13T00:00:00"/>
    <x v="1"/>
    <n v="0"/>
    <m/>
    <x v="1"/>
    <n v="2"/>
    <n v="7"/>
    <n v="82"/>
    <s v="No"/>
  </r>
  <r>
    <x v="452"/>
    <x v="1"/>
    <x v="0"/>
    <s v="Retail"/>
    <x v="3"/>
    <n v="1"/>
    <n v="29"/>
    <s v="Direct Sales"/>
    <s v="Latin America"/>
    <d v="2023-09-24T00:00:00"/>
    <x v="0"/>
    <n v="1"/>
    <d v="2023-10-21T00:00:00"/>
    <x v="5"/>
    <n v="2"/>
    <n v="1"/>
    <n v="27"/>
    <s v="No"/>
  </r>
  <r>
    <x v="453"/>
    <x v="1"/>
    <x v="0"/>
    <s v="Media"/>
    <x v="3"/>
    <n v="1"/>
    <n v="29"/>
    <s v="Paid Ads"/>
    <s v="Europe"/>
    <d v="2025-07-09T00:00:00"/>
    <x v="0"/>
    <n v="1"/>
    <d v="2025-11-27T00:00:00"/>
    <x v="4"/>
    <n v="12"/>
    <n v="3"/>
    <n v="49"/>
    <s v="No"/>
  </r>
  <r>
    <x v="454"/>
    <x v="1"/>
    <x v="0"/>
    <s v="Healthcare"/>
    <x v="2"/>
    <n v="8"/>
    <n v="59.45"/>
    <s v="Organic Search"/>
    <s v="Europe"/>
    <d v="2025-08-31T00:00:00"/>
    <x v="1"/>
    <n v="0"/>
    <m/>
    <x v="1"/>
    <n v="4"/>
    <n v="7"/>
    <n v="34"/>
    <s v="No"/>
  </r>
  <r>
    <x v="455"/>
    <x v="0"/>
    <x v="1"/>
    <s v="Education"/>
    <x v="3"/>
    <n v="4"/>
    <n v="97.37"/>
    <s v="Direct Sales"/>
    <s v="North America"/>
    <d v="2023-05-17T00:00:00"/>
    <x v="1"/>
    <n v="0"/>
    <m/>
    <x v="1"/>
    <n v="6"/>
    <n v="8"/>
    <n v="53"/>
    <s v="No"/>
  </r>
  <r>
    <x v="456"/>
    <x v="0"/>
    <x v="1"/>
    <s v="Legal"/>
    <x v="0"/>
    <n v="39"/>
    <n v="449.9"/>
    <s v="Direct Sales"/>
    <s v="Asia Pacific"/>
    <d v="2024-03-29T00:00:00"/>
    <x v="1"/>
    <n v="0"/>
    <m/>
    <x v="1"/>
    <n v="0"/>
    <n v="5"/>
    <n v="58"/>
    <s v="No"/>
  </r>
  <r>
    <x v="457"/>
    <x v="2"/>
    <x v="1"/>
    <s v="Manufacturing"/>
    <x v="4"/>
    <n v="73"/>
    <n v="1995.97"/>
    <s v="Referral"/>
    <s v="North America"/>
    <d v="2025-04-02T00:00:00"/>
    <x v="1"/>
    <n v="0"/>
    <m/>
    <x v="1"/>
    <n v="12"/>
    <n v="1"/>
    <n v="15"/>
    <s v="Yes"/>
  </r>
  <r>
    <x v="458"/>
    <x v="0"/>
    <x v="0"/>
    <s v="Real Estate"/>
    <x v="2"/>
    <n v="7"/>
    <n v="150.1"/>
    <s v="Partner"/>
    <s v="North America"/>
    <d v="2022-12-20T00:00:00"/>
    <x v="0"/>
    <n v="1"/>
    <d v="2023-11-02T00:00:00"/>
    <x v="7"/>
    <n v="5"/>
    <n v="2"/>
    <n v="12"/>
    <s v="No"/>
  </r>
  <r>
    <x v="459"/>
    <x v="2"/>
    <x v="1"/>
    <s v="Finance"/>
    <x v="2"/>
    <n v="33"/>
    <n v="981.07"/>
    <s v="Partner"/>
    <s v="Asia Pacific"/>
    <d v="2023-02-07T00:00:00"/>
    <x v="1"/>
    <n v="0"/>
    <m/>
    <x v="1"/>
    <n v="1"/>
    <n v="8"/>
    <n v="89"/>
    <s v="No"/>
  </r>
  <r>
    <x v="460"/>
    <x v="1"/>
    <x v="0"/>
    <s v="Education"/>
    <x v="3"/>
    <n v="3"/>
    <n v="37.700000000000003"/>
    <s v="Partner"/>
    <s v="Europe"/>
    <d v="2025-01-03T00:00:00"/>
    <x v="1"/>
    <n v="0"/>
    <m/>
    <x v="1"/>
    <n v="10"/>
    <n v="7"/>
    <n v="60"/>
    <s v="No"/>
  </r>
  <r>
    <x v="461"/>
    <x v="0"/>
    <x v="1"/>
    <s v="Education"/>
    <x v="3"/>
    <n v="5"/>
    <n v="107.44"/>
    <s v="Direct Sales"/>
    <s v="Europe"/>
    <d v="2025-06-09T00:00:00"/>
    <x v="1"/>
    <n v="0"/>
    <m/>
    <x v="1"/>
    <n v="2"/>
    <n v="9"/>
    <n v="82"/>
    <s v="No"/>
  </r>
  <r>
    <x v="462"/>
    <x v="0"/>
    <x v="0"/>
    <s v="Education"/>
    <x v="2"/>
    <n v="5"/>
    <n v="126.4"/>
    <s v="Social Media"/>
    <s v="North America"/>
    <d v="2022-07-06T00:00:00"/>
    <x v="0"/>
    <n v="1"/>
    <d v="2022-10-08T00:00:00"/>
    <x v="6"/>
    <n v="1"/>
    <n v="2"/>
    <n v="17"/>
    <s v="No"/>
  </r>
  <r>
    <x v="463"/>
    <x v="1"/>
    <x v="1"/>
    <s v="Real Estate"/>
    <x v="0"/>
    <n v="59"/>
    <n v="239.1"/>
    <s v="Paid Ads"/>
    <s v="North America"/>
    <d v="2025-10-18T00:00:00"/>
    <x v="1"/>
    <n v="0"/>
    <m/>
    <x v="1"/>
    <n v="12"/>
    <n v="9"/>
    <n v="72"/>
    <s v="No"/>
  </r>
  <r>
    <x v="464"/>
    <x v="0"/>
    <x v="0"/>
    <s v="Education"/>
    <x v="3"/>
    <n v="1"/>
    <n v="79"/>
    <s v="Direct Sales"/>
    <s v="Europe"/>
    <d v="2025-12-24T00:00:00"/>
    <x v="1"/>
    <n v="0"/>
    <m/>
    <x v="1"/>
    <n v="11"/>
    <n v="5"/>
    <n v="84"/>
    <s v="No"/>
  </r>
  <r>
    <x v="465"/>
    <x v="2"/>
    <x v="1"/>
    <s v="Finance"/>
    <x v="0"/>
    <n v="35"/>
    <n v="1031.82"/>
    <s v="Paid Ads"/>
    <s v="Europe"/>
    <d v="2024-04-27T00:00:00"/>
    <x v="1"/>
    <n v="0"/>
    <m/>
    <x v="1"/>
    <n v="4"/>
    <n v="8"/>
    <n v="41"/>
    <s v="No"/>
  </r>
  <r>
    <x v="466"/>
    <x v="1"/>
    <x v="1"/>
    <s v="Healthcare"/>
    <x v="4"/>
    <n v="112"/>
    <n v="435.07"/>
    <s v="Referral"/>
    <s v="Latin America"/>
    <d v="2022-10-27T00:00:00"/>
    <x v="0"/>
    <n v="1"/>
    <d v="2023-06-19T00:00:00"/>
    <x v="3"/>
    <n v="12"/>
    <n v="1"/>
    <n v="34"/>
    <s v="No"/>
  </r>
  <r>
    <x v="467"/>
    <x v="3"/>
    <x v="1"/>
    <s v="Technology"/>
    <x v="2"/>
    <n v="10"/>
    <n v="996.75"/>
    <s v="Referral"/>
    <s v="North America"/>
    <d v="2024-05-12T00:00:00"/>
    <x v="1"/>
    <n v="0"/>
    <m/>
    <x v="1"/>
    <n v="3"/>
    <n v="1"/>
    <n v="64"/>
    <s v="No"/>
  </r>
  <r>
    <x v="468"/>
    <x v="2"/>
    <x v="1"/>
    <s v="Media"/>
    <x v="3"/>
    <n v="3"/>
    <n v="219.9"/>
    <s v="Paid Ads"/>
    <s v="Europe"/>
    <d v="2025-12-19T00:00:00"/>
    <x v="1"/>
    <n v="0"/>
    <m/>
    <x v="1"/>
    <n v="8"/>
    <n v="2"/>
    <n v="45"/>
    <s v="No"/>
  </r>
  <r>
    <x v="469"/>
    <x v="0"/>
    <x v="0"/>
    <s v="Real Estate"/>
    <x v="3"/>
    <n v="5"/>
    <n v="126.4"/>
    <s v="Direct Sales"/>
    <s v="North America"/>
    <d v="2024-10-12T00:00:00"/>
    <x v="0"/>
    <n v="1"/>
    <d v="2025-04-09T00:00:00"/>
    <x v="4"/>
    <n v="4"/>
    <n v="1"/>
    <n v="21"/>
    <s v="No"/>
  </r>
  <r>
    <x v="470"/>
    <x v="2"/>
    <x v="1"/>
    <s v="Real Estate"/>
    <x v="0"/>
    <n v="62"/>
    <n v="1716.87"/>
    <s v="Paid Ads"/>
    <s v="North America"/>
    <d v="2023-09-22T00:00:00"/>
    <x v="0"/>
    <n v="1"/>
    <d v="2025-06-03T00:00:00"/>
    <x v="6"/>
    <n v="10"/>
    <n v="4"/>
    <n v="28"/>
    <s v="No"/>
  </r>
  <r>
    <x v="471"/>
    <x v="1"/>
    <x v="1"/>
    <s v="Real Estate"/>
    <x v="2"/>
    <n v="5"/>
    <n v="39.44"/>
    <s v="Partner"/>
    <s v="Asia Pacific"/>
    <d v="2022-08-31T00:00:00"/>
    <x v="0"/>
    <n v="1"/>
    <d v="2022-12-25T00:00:00"/>
    <x v="2"/>
    <n v="12"/>
    <n v="1"/>
    <n v="44"/>
    <s v="No"/>
  </r>
  <r>
    <x v="472"/>
    <x v="1"/>
    <x v="0"/>
    <s v="Finance"/>
    <x v="0"/>
    <n v="48"/>
    <n v="233.45"/>
    <s v="Direct Sales"/>
    <s v="North America"/>
    <d v="2025-07-04T00:00:00"/>
    <x v="1"/>
    <n v="0"/>
    <m/>
    <x v="1"/>
    <n v="0"/>
    <n v="7"/>
    <n v="40"/>
    <s v="No"/>
  </r>
  <r>
    <x v="473"/>
    <x v="0"/>
    <x v="1"/>
    <s v="Real Estate"/>
    <x v="2"/>
    <n v="7"/>
    <n v="127.59"/>
    <s v="Referral"/>
    <s v="Europe"/>
    <d v="2022-11-15T00:00:00"/>
    <x v="0"/>
    <n v="1"/>
    <d v="2023-02-07T00:00:00"/>
    <x v="7"/>
    <n v="1"/>
    <n v="5"/>
    <n v="45"/>
    <s v="No"/>
  </r>
  <r>
    <x v="474"/>
    <x v="0"/>
    <x v="1"/>
    <s v="Real Estate"/>
    <x v="3"/>
    <n v="1"/>
    <n v="67.150000000000006"/>
    <s v="Paid Ads"/>
    <s v="North America"/>
    <d v="2025-12-28T00:00:00"/>
    <x v="1"/>
    <n v="0"/>
    <m/>
    <x v="1"/>
    <n v="11"/>
    <n v="6"/>
    <n v="30"/>
    <s v="No"/>
  </r>
  <r>
    <x v="475"/>
    <x v="0"/>
    <x v="1"/>
    <s v="Real Estate"/>
    <x v="3"/>
    <n v="2"/>
    <n v="77.22"/>
    <s v="Organic Search"/>
    <s v="Latin America"/>
    <d v="2025-06-14T00:00:00"/>
    <x v="1"/>
    <n v="0"/>
    <m/>
    <x v="1"/>
    <n v="1"/>
    <n v="3"/>
    <n v="15"/>
    <s v="No"/>
  </r>
  <r>
    <x v="476"/>
    <x v="0"/>
    <x v="0"/>
    <s v="Technology"/>
    <x v="0"/>
    <n v="67"/>
    <n v="861.1"/>
    <s v="Direct Sales"/>
    <s v="Asia Pacific"/>
    <d v="2025-06-14T00:00:00"/>
    <x v="1"/>
    <n v="0"/>
    <m/>
    <x v="1"/>
    <n v="11"/>
    <n v="8"/>
    <n v="76"/>
    <s v="No"/>
  </r>
  <r>
    <x v="477"/>
    <x v="2"/>
    <x v="0"/>
    <s v="Retail"/>
    <x v="3"/>
    <n v="3"/>
    <n v="258.7"/>
    <s v="Paid Ads"/>
    <s v="Europe"/>
    <d v="2022-02-17T00:00:00"/>
    <x v="0"/>
    <n v="1"/>
    <d v="2024-06-28T00:00:00"/>
    <x v="2"/>
    <n v="1"/>
    <n v="1"/>
    <n v="11"/>
    <s v="No"/>
  </r>
  <r>
    <x v="478"/>
    <x v="1"/>
    <x v="0"/>
    <s v="Healthcare"/>
    <x v="2"/>
    <n v="10"/>
    <n v="68.150000000000006"/>
    <s v="Paid Ads"/>
    <s v="North America"/>
    <d v="2023-11-06T00:00:00"/>
    <x v="0"/>
    <n v="1"/>
    <d v="2025-03-21T00:00:00"/>
    <x v="7"/>
    <n v="2"/>
    <n v="1"/>
    <n v="21"/>
    <s v="No"/>
  </r>
  <r>
    <x v="479"/>
    <x v="2"/>
    <x v="0"/>
    <s v="Manufacturing"/>
    <x v="2"/>
    <n v="5"/>
    <n v="318.39999999999998"/>
    <s v="Organic Search"/>
    <s v="Europe"/>
    <d v="2023-02-08T00:00:00"/>
    <x v="0"/>
    <n v="1"/>
    <d v="2023-02-16T00:00:00"/>
    <x v="5"/>
    <n v="8"/>
    <n v="6"/>
    <n v="34"/>
    <s v="No"/>
  </r>
  <r>
    <x v="480"/>
    <x v="3"/>
    <x v="0"/>
    <s v="Legal"/>
    <x v="4"/>
    <n v="112"/>
    <n v="8807.35"/>
    <s v="Organic Search"/>
    <s v="Europe"/>
    <d v="2024-06-21T00:00:00"/>
    <x v="1"/>
    <n v="0"/>
    <m/>
    <x v="1"/>
    <n v="2"/>
    <n v="2"/>
    <n v="61"/>
    <s v="No"/>
  </r>
  <r>
    <x v="481"/>
    <x v="0"/>
    <x v="1"/>
    <s v="Education"/>
    <x v="2"/>
    <n v="27"/>
    <n v="329.03"/>
    <s v="Paid Ads"/>
    <s v="North America"/>
    <d v="2024-10-02T00:00:00"/>
    <x v="1"/>
    <n v="0"/>
    <m/>
    <x v="1"/>
    <n v="8"/>
    <n v="6"/>
    <n v="80"/>
    <s v="No"/>
  </r>
  <r>
    <x v="482"/>
    <x v="1"/>
    <x v="1"/>
    <s v="Education"/>
    <x v="2"/>
    <n v="6"/>
    <n v="43.14"/>
    <s v="Paid Ads"/>
    <s v="North America"/>
    <d v="2022-02-22T00:00:00"/>
    <x v="0"/>
    <n v="1"/>
    <d v="2022-08-11T00:00:00"/>
    <x v="5"/>
    <n v="6"/>
    <n v="1"/>
    <n v="21"/>
    <s v="No"/>
  </r>
  <r>
    <x v="483"/>
    <x v="2"/>
    <x v="0"/>
    <s v="Legal"/>
    <x v="2"/>
    <n v="29"/>
    <n v="1034.8"/>
    <s v="Organic Search"/>
    <s v="Europe"/>
    <d v="2023-05-26T00:00:00"/>
    <x v="0"/>
    <n v="1"/>
    <d v="2023-06-18T00:00:00"/>
    <x v="2"/>
    <n v="7"/>
    <n v="3"/>
    <n v="32"/>
    <s v="No"/>
  </r>
  <r>
    <x v="484"/>
    <x v="0"/>
    <x v="1"/>
    <s v="Finance"/>
    <x v="3"/>
    <n v="2"/>
    <n v="77.22"/>
    <s v="Organic Search"/>
    <s v="Europe"/>
    <d v="2023-09-13T00:00:00"/>
    <x v="0"/>
    <n v="1"/>
    <d v="2025-03-29T00:00:00"/>
    <x v="4"/>
    <n v="7"/>
    <n v="1"/>
    <n v="30"/>
    <s v="No"/>
  </r>
  <r>
    <x v="485"/>
    <x v="1"/>
    <x v="0"/>
    <s v="Healthcare"/>
    <x v="0"/>
    <n v="25"/>
    <n v="133.4"/>
    <s v="Partner"/>
    <s v="Asia Pacific"/>
    <d v="2024-11-29T00:00:00"/>
    <x v="0"/>
    <n v="1"/>
    <d v="2025-01-28T00:00:00"/>
    <x v="4"/>
    <n v="10"/>
    <n v="4"/>
    <n v="29"/>
    <s v="No"/>
  </r>
  <r>
    <x v="486"/>
    <x v="1"/>
    <x v="0"/>
    <s v="Real Estate"/>
    <x v="3"/>
    <n v="7"/>
    <n v="55.1"/>
    <s v="Social Media"/>
    <s v="Europe"/>
    <d v="2024-07-12T00:00:00"/>
    <x v="0"/>
    <n v="1"/>
    <d v="2025-10-03T00:00:00"/>
    <x v="7"/>
    <n v="8"/>
    <n v="3"/>
    <n v="50"/>
    <s v="No"/>
  </r>
  <r>
    <x v="487"/>
    <x v="2"/>
    <x v="1"/>
    <s v="Education"/>
    <x v="3"/>
    <n v="7"/>
    <n v="321.38"/>
    <s v="Partner"/>
    <s v="North America"/>
    <d v="2022-09-21T00:00:00"/>
    <x v="1"/>
    <n v="0"/>
    <m/>
    <x v="1"/>
    <n v="2"/>
    <n v="6"/>
    <n v="84"/>
    <s v="No"/>
  </r>
  <r>
    <x v="488"/>
    <x v="0"/>
    <x v="0"/>
    <s v="Consulting"/>
    <x v="2"/>
    <n v="24"/>
    <n v="351.55"/>
    <s v="Referral"/>
    <s v="Asia Pacific"/>
    <d v="2023-07-30T00:00:00"/>
    <x v="0"/>
    <n v="1"/>
    <d v="2025-05-02T00:00:00"/>
    <x v="6"/>
    <n v="15"/>
    <n v="5"/>
    <n v="26"/>
    <s v="No"/>
  </r>
  <r>
    <x v="489"/>
    <x v="3"/>
    <x v="0"/>
    <s v="Media"/>
    <x v="3"/>
    <n v="6"/>
    <n v="873.25"/>
    <s v="Referral"/>
    <s v="North America"/>
    <d v="2022-03-27T00:00:00"/>
    <x v="0"/>
    <n v="1"/>
    <d v="2025-02-22T00:00:00"/>
    <x v="5"/>
    <n v="11"/>
    <n v="3"/>
    <n v="19"/>
    <s v="No"/>
  </r>
  <r>
    <x v="490"/>
    <x v="1"/>
    <x v="0"/>
    <s v="Manufacturing"/>
    <x v="4"/>
    <n v="121"/>
    <n v="551"/>
    <s v="Social Media"/>
    <s v="Europe"/>
    <d v="2024-06-01T00:00:00"/>
    <x v="0"/>
    <n v="1"/>
    <d v="2025-04-06T00:00:00"/>
    <x v="0"/>
    <n v="2"/>
    <n v="6"/>
    <n v="23"/>
    <s v="No"/>
  </r>
  <r>
    <x v="491"/>
    <x v="0"/>
    <x v="0"/>
    <s v="Finance"/>
    <x v="3"/>
    <n v="4"/>
    <n v="114.55"/>
    <s v="Referral"/>
    <s v="Europe"/>
    <d v="2022-12-04T00:00:00"/>
    <x v="0"/>
    <n v="1"/>
    <d v="2025-03-31T00:00:00"/>
    <x v="5"/>
    <n v="15"/>
    <n v="1"/>
    <n v="27"/>
    <s v="No"/>
  </r>
  <r>
    <x v="492"/>
    <x v="1"/>
    <x v="1"/>
    <s v="Finance"/>
    <x v="0"/>
    <n v="73"/>
    <n v="290.87"/>
    <s v="Organic Search"/>
    <s v="North America"/>
    <d v="2025-10-06T00:00:00"/>
    <x v="1"/>
    <n v="0"/>
    <m/>
    <x v="1"/>
    <n v="3"/>
    <n v="7"/>
    <n v="57"/>
    <s v="No"/>
  </r>
  <r>
    <x v="493"/>
    <x v="2"/>
    <x v="0"/>
    <s v="Retail"/>
    <x v="1"/>
    <n v="199"/>
    <n v="6109.3"/>
    <s v="Partner"/>
    <s v="North America"/>
    <d v="2022-05-30T00:00:00"/>
    <x v="0"/>
    <n v="1"/>
    <d v="2025-09-19T00:00:00"/>
    <x v="7"/>
    <n v="13"/>
    <n v="4"/>
    <n v="26"/>
    <s v="No"/>
  </r>
  <r>
    <x v="494"/>
    <x v="2"/>
    <x v="0"/>
    <s v="Healthcare"/>
    <x v="2"/>
    <n v="21"/>
    <n v="796"/>
    <s v="Paid Ads"/>
    <s v="Asia Pacific"/>
    <d v="2022-08-10T00:00:00"/>
    <x v="0"/>
    <n v="1"/>
    <d v="2023-12-09T00:00:00"/>
    <x v="6"/>
    <n v="4"/>
    <n v="1"/>
    <n v="13"/>
    <s v="No"/>
  </r>
  <r>
    <x v="495"/>
    <x v="1"/>
    <x v="1"/>
    <s v="Finance"/>
    <x v="3"/>
    <n v="4"/>
    <n v="35.74"/>
    <s v="Referral"/>
    <s v="Europe"/>
    <d v="2023-06-27T00:00:00"/>
    <x v="0"/>
    <n v="1"/>
    <d v="2023-09-11T00:00:00"/>
    <x v="0"/>
    <n v="1"/>
    <n v="1"/>
    <n v="39"/>
    <s v="No"/>
  </r>
  <r>
    <x v="496"/>
    <x v="3"/>
    <x v="0"/>
    <s v="Legal"/>
    <x v="3"/>
    <n v="4"/>
    <n v="723.55"/>
    <s v="Paid Ads"/>
    <s v="North America"/>
    <d v="2024-02-03T00:00:00"/>
    <x v="1"/>
    <n v="0"/>
    <m/>
    <x v="1"/>
    <n v="0"/>
    <n v="6"/>
    <n v="47"/>
    <s v="No"/>
  </r>
  <r>
    <x v="497"/>
    <x v="2"/>
    <x v="1"/>
    <s v="Education"/>
    <x v="2"/>
    <n v="5"/>
    <n v="270.64"/>
    <s v="Social Media"/>
    <s v="Europe"/>
    <d v="2025-12-24T00:00:00"/>
    <x v="1"/>
    <n v="0"/>
    <m/>
    <x v="1"/>
    <n v="3"/>
    <n v="5"/>
    <n v="48"/>
    <s v="No"/>
  </r>
  <r>
    <x v="498"/>
    <x v="2"/>
    <x v="0"/>
    <s v="Education"/>
    <x v="2"/>
    <n v="15"/>
    <n v="616.9"/>
    <s v="Referral"/>
    <s v="North America"/>
    <d v="2025-03-06T00:00:00"/>
    <x v="1"/>
    <n v="0"/>
    <m/>
    <x v="1"/>
    <n v="11"/>
    <n v="10"/>
    <n v="37"/>
    <s v="No"/>
  </r>
  <r>
    <x v="499"/>
    <x v="0"/>
    <x v="0"/>
    <s v="Media"/>
    <x v="0"/>
    <n v="71"/>
    <n v="908.5"/>
    <s v="Referral"/>
    <s v="North America"/>
    <d v="2025-11-28T00:00:00"/>
    <x v="1"/>
    <n v="0"/>
    <m/>
    <x v="1"/>
    <n v="4"/>
    <n v="5"/>
    <n v="70"/>
    <s v="No"/>
  </r>
  <r>
    <x v="500"/>
    <x v="1"/>
    <x v="1"/>
    <s v="Education"/>
    <x v="1"/>
    <n v="144"/>
    <n v="553.39"/>
    <s v="Partner"/>
    <s v="North America"/>
    <d v="2023-07-30T00:00:00"/>
    <x v="0"/>
    <n v="1"/>
    <d v="2024-01-28T00:00:00"/>
    <x v="5"/>
    <n v="6"/>
    <n v="3"/>
    <n v="45"/>
    <s v="No"/>
  </r>
  <r>
    <x v="501"/>
    <x v="0"/>
    <x v="1"/>
    <s v="Retail"/>
    <x v="2"/>
    <n v="32"/>
    <n v="379.4"/>
    <s v="Referral"/>
    <s v="Europe"/>
    <d v="2024-10-28T00:00:00"/>
    <x v="1"/>
    <n v="0"/>
    <m/>
    <x v="1"/>
    <n v="5"/>
    <n v="9"/>
    <n v="36"/>
    <s v="No"/>
  </r>
  <r>
    <x v="502"/>
    <x v="3"/>
    <x v="1"/>
    <s v="Real Estate"/>
    <x v="2"/>
    <n v="23"/>
    <n v="1823.84"/>
    <s v="Organic Search"/>
    <s v="Latin America"/>
    <d v="2025-01-20T00:00:00"/>
    <x v="1"/>
    <n v="0"/>
    <m/>
    <x v="1"/>
    <n v="10"/>
    <n v="7"/>
    <n v="16"/>
    <s v="No"/>
  </r>
  <r>
    <x v="503"/>
    <x v="1"/>
    <x v="0"/>
    <s v="Retail"/>
    <x v="2"/>
    <n v="15"/>
    <n v="89.9"/>
    <s v="Organic Search"/>
    <s v="Europe"/>
    <d v="2025-04-12T00:00:00"/>
    <x v="0"/>
    <n v="1"/>
    <d v="2025-05-08T00:00:00"/>
    <x v="4"/>
    <n v="14"/>
    <n v="3"/>
    <n v="26"/>
    <s v="No"/>
  </r>
  <r>
    <x v="504"/>
    <x v="2"/>
    <x v="0"/>
    <s v="Technology"/>
    <x v="0"/>
    <n v="49"/>
    <n v="1631.8"/>
    <s v="Referral"/>
    <s v="North America"/>
    <d v="2022-05-12T00:00:00"/>
    <x v="0"/>
    <n v="1"/>
    <d v="2023-08-04T00:00:00"/>
    <x v="4"/>
    <n v="10"/>
    <n v="6"/>
    <n v="16"/>
    <s v="No"/>
  </r>
  <r>
    <x v="505"/>
    <x v="1"/>
    <x v="0"/>
    <s v="Technology"/>
    <x v="2"/>
    <n v="26"/>
    <n v="137.75"/>
    <s v="Organic Search"/>
    <s v="Latin America"/>
    <d v="2024-11-08T00:00:00"/>
    <x v="0"/>
    <n v="1"/>
    <d v="2025-08-25T00:00:00"/>
    <x v="6"/>
    <n v="12"/>
    <n v="2"/>
    <n v="26"/>
    <s v="No"/>
  </r>
  <r>
    <x v="506"/>
    <x v="2"/>
    <x v="1"/>
    <s v="Manufacturing"/>
    <x v="2"/>
    <n v="35"/>
    <n v="1031.82"/>
    <s v="Partner"/>
    <s v="North America"/>
    <d v="2025-04-21T00:00:00"/>
    <x v="1"/>
    <n v="0"/>
    <m/>
    <x v="1"/>
    <n v="2"/>
    <n v="6"/>
    <n v="70"/>
    <s v="Yes"/>
  </r>
  <r>
    <x v="507"/>
    <x v="1"/>
    <x v="1"/>
    <s v="Finance"/>
    <x v="0"/>
    <n v="54"/>
    <n v="220.62"/>
    <s v="Referral"/>
    <s v="Asia Pacific"/>
    <d v="2022-03-10T00:00:00"/>
    <x v="0"/>
    <n v="1"/>
    <d v="2022-11-09T00:00:00"/>
    <x v="5"/>
    <n v="3"/>
    <n v="2"/>
    <n v="33"/>
    <s v="No"/>
  </r>
  <r>
    <x v="508"/>
    <x v="1"/>
    <x v="0"/>
    <s v="Education"/>
    <x v="1"/>
    <n v="56"/>
    <n v="268.25"/>
    <s v="Referral"/>
    <s v="Latin America"/>
    <d v="2023-05-12T00:00:00"/>
    <x v="0"/>
    <n v="1"/>
    <d v="2023-07-04T00:00:00"/>
    <x v="3"/>
    <n v="12"/>
    <n v="2"/>
    <n v="17"/>
    <s v="No"/>
  </r>
  <r>
    <x v="509"/>
    <x v="2"/>
    <x v="0"/>
    <s v="Education"/>
    <x v="2"/>
    <n v="27"/>
    <n v="975.1"/>
    <s v="Referral"/>
    <s v="Asia Pacific"/>
    <d v="2024-08-26T00:00:00"/>
    <x v="0"/>
    <n v="1"/>
    <d v="2025-04-07T00:00:00"/>
    <x v="3"/>
    <n v="9"/>
    <n v="2"/>
    <n v="24"/>
    <s v="No"/>
  </r>
  <r>
    <x v="510"/>
    <x v="0"/>
    <x v="0"/>
    <s v="Education"/>
    <x v="2"/>
    <n v="25"/>
    <n v="363.4"/>
    <s v="Paid Ads"/>
    <s v="North America"/>
    <d v="2025-09-23T00:00:00"/>
    <x v="1"/>
    <n v="0"/>
    <m/>
    <x v="1"/>
    <n v="6"/>
    <n v="4"/>
    <n v="30"/>
    <s v="No"/>
  </r>
  <r>
    <x v="511"/>
    <x v="1"/>
    <x v="1"/>
    <s v="Consulting"/>
    <x v="0"/>
    <n v="26"/>
    <n v="117.09"/>
    <s v="Referral"/>
    <s v="Europe"/>
    <d v="2023-01-17T00:00:00"/>
    <x v="0"/>
    <n v="1"/>
    <d v="2023-06-08T00:00:00"/>
    <x v="4"/>
    <n v="15"/>
    <n v="2"/>
    <n v="36"/>
    <s v="No"/>
  </r>
  <r>
    <x v="512"/>
    <x v="0"/>
    <x v="1"/>
    <s v="Education"/>
    <x v="3"/>
    <n v="8"/>
    <n v="137.66"/>
    <s v="Referral"/>
    <s v="North America"/>
    <d v="2024-01-20T00:00:00"/>
    <x v="0"/>
    <n v="1"/>
    <d v="2024-02-01T00:00:00"/>
    <x v="5"/>
    <n v="6"/>
    <n v="5"/>
    <n v="13"/>
    <s v="No"/>
  </r>
  <r>
    <x v="513"/>
    <x v="2"/>
    <x v="0"/>
    <s v="Finance"/>
    <x v="4"/>
    <n v="68"/>
    <n v="2198.9499999999998"/>
    <s v="Paid Ads"/>
    <s v="Latin America"/>
    <d v="2024-01-27T00:00:00"/>
    <x v="0"/>
    <n v="1"/>
    <d v="2024-06-19T00:00:00"/>
    <x v="4"/>
    <n v="15"/>
    <n v="1"/>
    <n v="19"/>
    <s v="No"/>
  </r>
  <r>
    <x v="514"/>
    <x v="3"/>
    <x v="0"/>
    <s v="Finance"/>
    <x v="3"/>
    <n v="2"/>
    <n v="573.85"/>
    <s v="Organic Search"/>
    <s v="North America"/>
    <d v="2022-04-01T00:00:00"/>
    <x v="1"/>
    <n v="0"/>
    <m/>
    <x v="1"/>
    <n v="7"/>
    <n v="8"/>
    <n v="28"/>
    <s v="No"/>
  </r>
  <r>
    <x v="515"/>
    <x v="2"/>
    <x v="0"/>
    <s v="Education"/>
    <x v="0"/>
    <n v="42"/>
    <n v="1422.85"/>
    <s v="Partner"/>
    <s v="Europe"/>
    <d v="2024-11-16T00:00:00"/>
    <x v="1"/>
    <n v="0"/>
    <m/>
    <x v="1"/>
    <n v="10"/>
    <n v="2"/>
    <n v="17"/>
    <s v="No"/>
  </r>
  <r>
    <x v="516"/>
    <x v="0"/>
    <x v="0"/>
    <s v="Healthcare"/>
    <x v="0"/>
    <n v="59"/>
    <n v="766.3"/>
    <s v="Social Media"/>
    <s v="Europe"/>
    <d v="2024-04-30T00:00:00"/>
    <x v="0"/>
    <n v="1"/>
    <d v="2024-10-14T00:00:00"/>
    <x v="5"/>
    <n v="12"/>
    <n v="4"/>
    <n v="42"/>
    <s v="No"/>
  </r>
  <r>
    <x v="517"/>
    <x v="1"/>
    <x v="1"/>
    <s v="Manufacturing"/>
    <x v="2"/>
    <n v="21"/>
    <n v="98.6"/>
    <s v="Paid Ads"/>
    <s v="North America"/>
    <d v="2025-05-20T00:00:00"/>
    <x v="1"/>
    <n v="0"/>
    <m/>
    <x v="1"/>
    <n v="4"/>
    <n v="7"/>
    <n v="71"/>
    <s v="No"/>
  </r>
  <r>
    <x v="518"/>
    <x v="2"/>
    <x v="1"/>
    <s v="Media"/>
    <x v="2"/>
    <n v="34"/>
    <n v="1006.44"/>
    <s v="Paid Ads"/>
    <s v="Asia Pacific"/>
    <d v="2022-08-18T00:00:00"/>
    <x v="1"/>
    <n v="0"/>
    <m/>
    <x v="1"/>
    <n v="10"/>
    <n v="4"/>
    <n v="84"/>
    <s v="No"/>
  </r>
  <r>
    <x v="519"/>
    <x v="0"/>
    <x v="0"/>
    <s v="Healthcare"/>
    <x v="2"/>
    <n v="31"/>
    <n v="434.5"/>
    <s v="Paid Ads"/>
    <s v="Europe"/>
    <d v="2022-06-12T00:00:00"/>
    <x v="0"/>
    <n v="1"/>
    <d v="2024-04-30T00:00:00"/>
    <x v="3"/>
    <n v="10"/>
    <n v="4"/>
    <n v="20"/>
    <s v="No"/>
  </r>
  <r>
    <x v="520"/>
    <x v="3"/>
    <x v="0"/>
    <s v="Finance"/>
    <x v="3"/>
    <n v="4"/>
    <n v="723.55"/>
    <s v="Organic Search"/>
    <s v="Asia Pacific"/>
    <d v="2024-08-01T00:00:00"/>
    <x v="0"/>
    <n v="1"/>
    <d v="2025-05-10T00:00:00"/>
    <x v="5"/>
    <n v="5"/>
    <n v="6"/>
    <n v="31"/>
    <s v="No"/>
  </r>
  <r>
    <x v="521"/>
    <x v="3"/>
    <x v="0"/>
    <s v="Technology"/>
    <x v="3"/>
    <n v="7"/>
    <n v="948.1"/>
    <s v="Direct Sales"/>
    <s v="Asia Pacific"/>
    <d v="2023-06-26T00:00:00"/>
    <x v="1"/>
    <n v="0"/>
    <m/>
    <x v="1"/>
    <n v="0"/>
    <n v="5"/>
    <n v="83"/>
    <s v="No"/>
  </r>
  <r>
    <x v="522"/>
    <x v="2"/>
    <x v="0"/>
    <s v="Healthcare"/>
    <x v="3"/>
    <n v="7"/>
    <n v="378.1"/>
    <s v="Partner"/>
    <s v="Europe"/>
    <d v="2024-01-07T00:00:00"/>
    <x v="0"/>
    <n v="1"/>
    <d v="2025-04-26T00:00:00"/>
    <x v="7"/>
    <n v="0"/>
    <n v="1"/>
    <n v="36"/>
    <s v="No"/>
  </r>
  <r>
    <x v="523"/>
    <x v="0"/>
    <x v="0"/>
    <s v="Media"/>
    <x v="0"/>
    <n v="59"/>
    <n v="766.3"/>
    <s v="Partner"/>
    <s v="North America"/>
    <d v="2022-02-07T00:00:00"/>
    <x v="1"/>
    <n v="0"/>
    <m/>
    <x v="1"/>
    <n v="2"/>
    <n v="7"/>
    <n v="51"/>
    <s v="No"/>
  </r>
  <r>
    <x v="524"/>
    <x v="3"/>
    <x v="1"/>
    <s v="Manufacturing"/>
    <x v="3"/>
    <n v="1"/>
    <n v="424.15"/>
    <s v="Paid Ads"/>
    <s v="Latin America"/>
    <d v="2022-08-01T00:00:00"/>
    <x v="1"/>
    <n v="0"/>
    <m/>
    <x v="1"/>
    <n v="2"/>
    <n v="1"/>
    <n v="65"/>
    <s v="No"/>
  </r>
  <r>
    <x v="525"/>
    <x v="0"/>
    <x v="0"/>
    <s v="Real Estate"/>
    <x v="3"/>
    <n v="8"/>
    <n v="161.94999999999999"/>
    <s v="Paid Ads"/>
    <s v="Latin America"/>
    <d v="2023-05-01T00:00:00"/>
    <x v="0"/>
    <n v="1"/>
    <d v="2023-06-24T00:00:00"/>
    <x v="4"/>
    <n v="3"/>
    <n v="1"/>
    <n v="27"/>
    <s v="No"/>
  </r>
  <r>
    <x v="526"/>
    <x v="2"/>
    <x v="1"/>
    <s v="Media"/>
    <x v="4"/>
    <n v="50"/>
    <n v="1412.4"/>
    <s v="Paid Ads"/>
    <s v="Europe"/>
    <d v="2025-10-13T00:00:00"/>
    <x v="1"/>
    <n v="0"/>
    <m/>
    <x v="1"/>
    <n v="12"/>
    <n v="5"/>
    <n v="91"/>
    <s v="No"/>
  </r>
  <r>
    <x v="527"/>
    <x v="1"/>
    <x v="0"/>
    <s v="Legal"/>
    <x v="3"/>
    <n v="7"/>
    <n v="55.1"/>
    <s v="Referral"/>
    <s v="Asia Pacific"/>
    <d v="2023-12-16T00:00:00"/>
    <x v="0"/>
    <n v="1"/>
    <d v="2025-08-02T00:00:00"/>
    <x v="5"/>
    <n v="6"/>
    <n v="3"/>
    <n v="36"/>
    <s v="No"/>
  </r>
  <r>
    <x v="528"/>
    <x v="2"/>
    <x v="1"/>
    <s v="Consulting"/>
    <x v="0"/>
    <n v="49"/>
    <n v="1387.03"/>
    <s v="Referral"/>
    <s v="Latin America"/>
    <d v="2025-02-26T00:00:00"/>
    <x v="1"/>
    <n v="0"/>
    <m/>
    <x v="1"/>
    <n v="12"/>
    <n v="9"/>
    <n v="82"/>
    <s v="No"/>
  </r>
  <r>
    <x v="529"/>
    <x v="3"/>
    <x v="0"/>
    <s v="Legal"/>
    <x v="2"/>
    <n v="31"/>
    <n v="2744.5"/>
    <s v="Partner"/>
    <s v="Europe"/>
    <d v="2023-04-28T00:00:00"/>
    <x v="1"/>
    <n v="0"/>
    <m/>
    <x v="1"/>
    <n v="11"/>
    <n v="3"/>
    <n v="15"/>
    <s v="No"/>
  </r>
  <r>
    <x v="530"/>
    <x v="0"/>
    <x v="0"/>
    <s v="Real Estate"/>
    <x v="2"/>
    <n v="20"/>
    <n v="304.14999999999998"/>
    <s v="Organic Search"/>
    <s v="North America"/>
    <d v="2023-08-12T00:00:00"/>
    <x v="1"/>
    <n v="0"/>
    <m/>
    <x v="1"/>
    <n v="10"/>
    <n v="1"/>
    <n v="76"/>
    <s v="No"/>
  </r>
  <r>
    <x v="531"/>
    <x v="1"/>
    <x v="1"/>
    <s v="Legal"/>
    <x v="0"/>
    <n v="67"/>
    <n v="268.69"/>
    <s v="Partner"/>
    <s v="Asia Pacific"/>
    <d v="2024-08-19T00:00:00"/>
    <x v="1"/>
    <n v="0"/>
    <m/>
    <x v="1"/>
    <n v="3"/>
    <n v="6"/>
    <n v="55"/>
    <s v="No"/>
  </r>
  <r>
    <x v="532"/>
    <x v="3"/>
    <x v="0"/>
    <s v="Healthcare"/>
    <x v="4"/>
    <n v="85"/>
    <n v="6786.4"/>
    <s v="Direct Sales"/>
    <s v="Europe"/>
    <d v="2024-07-17T00:00:00"/>
    <x v="1"/>
    <n v="0"/>
    <m/>
    <x v="1"/>
    <n v="4"/>
    <n v="7"/>
    <n v="54"/>
    <s v="Yes"/>
  </r>
  <r>
    <x v="533"/>
    <x v="1"/>
    <x v="0"/>
    <s v="Real Estate"/>
    <x v="3"/>
    <n v="2"/>
    <n v="33.35"/>
    <s v="Organic Search"/>
    <s v="Asia Pacific"/>
    <d v="2023-06-17T00:00:00"/>
    <x v="0"/>
    <n v="1"/>
    <d v="2023-07-27T00:00:00"/>
    <x v="5"/>
    <n v="13"/>
    <n v="2"/>
    <n v="17"/>
    <s v="No"/>
  </r>
  <r>
    <x v="534"/>
    <x v="3"/>
    <x v="1"/>
    <s v="Finance"/>
    <x v="4"/>
    <n v="52"/>
    <n v="3668.9"/>
    <s v="Referral"/>
    <s v="Europe"/>
    <d v="2024-07-25T00:00:00"/>
    <x v="1"/>
    <n v="0"/>
    <m/>
    <x v="1"/>
    <n v="9"/>
    <n v="7"/>
    <n v="93"/>
    <s v="No"/>
  </r>
  <r>
    <x v="535"/>
    <x v="1"/>
    <x v="1"/>
    <s v="Real Estate"/>
    <x v="0"/>
    <n v="58"/>
    <n v="235.41"/>
    <s v="Social Media"/>
    <s v="Asia Pacific"/>
    <d v="2022-11-05T00:00:00"/>
    <x v="0"/>
    <n v="1"/>
    <d v="2022-11-06T00:00:00"/>
    <x v="5"/>
    <n v="4"/>
    <n v="5"/>
    <n v="20"/>
    <s v="No"/>
  </r>
  <r>
    <x v="536"/>
    <x v="1"/>
    <x v="0"/>
    <s v="Legal"/>
    <x v="2"/>
    <n v="26"/>
    <n v="137.75"/>
    <s v="Paid Ads"/>
    <s v="North America"/>
    <d v="2023-06-14T00:00:00"/>
    <x v="0"/>
    <n v="1"/>
    <d v="2023-06-14T00:00:00"/>
    <x v="0"/>
    <n v="0"/>
    <n v="3"/>
    <n v="23"/>
    <s v="No"/>
  </r>
  <r>
    <x v="537"/>
    <x v="0"/>
    <x v="0"/>
    <s v="Real Estate"/>
    <x v="3"/>
    <n v="8"/>
    <n v="161.94999999999999"/>
    <s v="Paid Ads"/>
    <s v="Europe"/>
    <d v="2025-05-04T00:00:00"/>
    <x v="0"/>
    <n v="1"/>
    <d v="2025-08-08T00:00:00"/>
    <x v="0"/>
    <n v="5"/>
    <n v="2"/>
    <n v="49"/>
    <s v="No"/>
  </r>
  <r>
    <x v="538"/>
    <x v="2"/>
    <x v="1"/>
    <s v="Healthcare"/>
    <x v="0"/>
    <n v="20"/>
    <n v="651.23"/>
    <s v="Social Media"/>
    <s v="North America"/>
    <d v="2024-05-25T00:00:00"/>
    <x v="1"/>
    <n v="0"/>
    <m/>
    <x v="1"/>
    <n v="8"/>
    <n v="9"/>
    <n v="90"/>
    <s v="No"/>
  </r>
  <r>
    <x v="539"/>
    <x v="1"/>
    <x v="0"/>
    <s v="Consulting"/>
    <x v="0"/>
    <n v="68"/>
    <n v="320.45"/>
    <s v="Paid Ads"/>
    <s v="North America"/>
    <d v="2024-09-04T00:00:00"/>
    <x v="0"/>
    <n v="1"/>
    <d v="2025-05-10T00:00:00"/>
    <x v="6"/>
    <n v="9"/>
    <n v="4"/>
    <n v="50"/>
    <s v="No"/>
  </r>
  <r>
    <x v="540"/>
    <x v="0"/>
    <x v="0"/>
    <s v="Manufacturing"/>
    <x v="4"/>
    <n v="30"/>
    <n v="422.65"/>
    <s v="Referral"/>
    <s v="North America"/>
    <d v="2023-08-28T00:00:00"/>
    <x v="0"/>
    <n v="1"/>
    <d v="2024-11-10T00:00:00"/>
    <x v="4"/>
    <n v="8"/>
    <n v="1"/>
    <n v="50"/>
    <s v="No"/>
  </r>
  <r>
    <x v="541"/>
    <x v="1"/>
    <x v="0"/>
    <s v="Education"/>
    <x v="2"/>
    <n v="28"/>
    <n v="146.44999999999999"/>
    <s v="Direct Sales"/>
    <s v="North America"/>
    <d v="2025-10-24T00:00:00"/>
    <x v="1"/>
    <n v="0"/>
    <m/>
    <x v="1"/>
    <n v="7"/>
    <n v="1"/>
    <n v="91"/>
    <s v="No"/>
  </r>
  <r>
    <x v="542"/>
    <x v="3"/>
    <x v="1"/>
    <s v="Real Estate"/>
    <x v="3"/>
    <n v="1"/>
    <n v="424.15"/>
    <s v="Partner"/>
    <s v="North America"/>
    <d v="2022-11-05T00:00:00"/>
    <x v="0"/>
    <n v="1"/>
    <d v="2025-05-10T00:00:00"/>
    <x v="6"/>
    <n v="9"/>
    <n v="3"/>
    <n v="24"/>
    <s v="No"/>
  </r>
  <r>
    <x v="543"/>
    <x v="2"/>
    <x v="1"/>
    <s v="Real Estate"/>
    <x v="2"/>
    <n v="16"/>
    <n v="549.74"/>
    <s v="Referral"/>
    <s v="Europe"/>
    <d v="2023-12-30T00:00:00"/>
    <x v="1"/>
    <n v="0"/>
    <m/>
    <x v="1"/>
    <n v="4"/>
    <n v="3"/>
    <n v="25"/>
    <s v="No"/>
  </r>
  <r>
    <x v="544"/>
    <x v="1"/>
    <x v="0"/>
    <s v="Technology"/>
    <x v="3"/>
    <n v="1"/>
    <n v="29"/>
    <s v="Referral"/>
    <s v="Europe"/>
    <d v="2022-05-04T00:00:00"/>
    <x v="0"/>
    <n v="1"/>
    <d v="2022-12-14T00:00:00"/>
    <x v="0"/>
    <n v="14"/>
    <n v="2"/>
    <n v="10"/>
    <s v="No"/>
  </r>
  <r>
    <x v="545"/>
    <x v="0"/>
    <x v="0"/>
    <s v="Technology"/>
    <x v="2"/>
    <n v="11"/>
    <n v="197.5"/>
    <s v="Direct Sales"/>
    <s v="Asia Pacific"/>
    <d v="2023-09-12T00:00:00"/>
    <x v="0"/>
    <n v="1"/>
    <d v="2024-04-25T00:00:00"/>
    <x v="5"/>
    <n v="12"/>
    <n v="2"/>
    <n v="10"/>
    <s v="No"/>
  </r>
  <r>
    <x v="546"/>
    <x v="3"/>
    <x v="0"/>
    <s v="Retail"/>
    <x v="3"/>
    <n v="2"/>
    <n v="573.85"/>
    <s v="Organic Search"/>
    <s v="North America"/>
    <d v="2023-01-10T00:00:00"/>
    <x v="0"/>
    <n v="1"/>
    <d v="2025-02-18T00:00:00"/>
    <x v="2"/>
    <n v="10"/>
    <n v="3"/>
    <n v="22"/>
    <s v="No"/>
  </r>
  <r>
    <x v="547"/>
    <x v="2"/>
    <x v="0"/>
    <s v="Media"/>
    <x v="2"/>
    <n v="31"/>
    <n v="1094.5"/>
    <s v="Paid Ads"/>
    <s v="Asia Pacific"/>
    <d v="2022-11-24T00:00:00"/>
    <x v="1"/>
    <n v="0"/>
    <m/>
    <x v="1"/>
    <n v="1"/>
    <n v="6"/>
    <n v="49"/>
    <s v="No"/>
  </r>
  <r>
    <x v="548"/>
    <x v="1"/>
    <x v="1"/>
    <s v="Legal"/>
    <x v="2"/>
    <n v="30"/>
    <n v="131.88"/>
    <s v="Partner"/>
    <s v="North America"/>
    <d v="2022-03-20T00:00:00"/>
    <x v="0"/>
    <n v="1"/>
    <d v="2022-04-05T00:00:00"/>
    <x v="5"/>
    <n v="7"/>
    <n v="1"/>
    <n v="28"/>
    <s v="No"/>
  </r>
  <r>
    <x v="549"/>
    <x v="1"/>
    <x v="0"/>
    <s v="Technology"/>
    <x v="2"/>
    <n v="31"/>
    <n v="159.5"/>
    <s v="Organic Search"/>
    <s v="Asia Pacific"/>
    <d v="2024-04-25T00:00:00"/>
    <x v="0"/>
    <n v="1"/>
    <d v="2024-09-02T00:00:00"/>
    <x v="6"/>
    <n v="1"/>
    <n v="6"/>
    <n v="33"/>
    <s v="No"/>
  </r>
  <r>
    <x v="550"/>
    <x v="0"/>
    <x v="1"/>
    <s v="Consulting"/>
    <x v="1"/>
    <n v="187"/>
    <n v="1940.63"/>
    <s v="Paid Ads"/>
    <s v="North America"/>
    <d v="2025-10-08T00:00:00"/>
    <x v="1"/>
    <n v="0"/>
    <m/>
    <x v="1"/>
    <n v="1"/>
    <n v="3"/>
    <n v="53"/>
    <s v="No"/>
  </r>
  <r>
    <x v="551"/>
    <x v="1"/>
    <x v="0"/>
    <s v="Education"/>
    <x v="2"/>
    <n v="9"/>
    <n v="63.8"/>
    <s v="Direct Sales"/>
    <s v="North America"/>
    <d v="2025-03-10T00:00:00"/>
    <x v="1"/>
    <n v="0"/>
    <m/>
    <x v="1"/>
    <n v="9"/>
    <n v="3"/>
    <n v="22"/>
    <s v="No"/>
  </r>
  <r>
    <x v="552"/>
    <x v="1"/>
    <x v="1"/>
    <s v="Technology"/>
    <x v="4"/>
    <n v="135"/>
    <n v="520.12"/>
    <s v="Social Media"/>
    <s v="Asia Pacific"/>
    <d v="2024-10-01T00:00:00"/>
    <x v="1"/>
    <n v="0"/>
    <m/>
    <x v="1"/>
    <n v="10"/>
    <n v="4"/>
    <n v="86"/>
    <s v="No"/>
  </r>
  <r>
    <x v="553"/>
    <x v="1"/>
    <x v="1"/>
    <s v="Manufacturing"/>
    <x v="0"/>
    <n v="39"/>
    <n v="165.16"/>
    <s v="Paid Ads"/>
    <s v="North America"/>
    <d v="2022-02-17T00:00:00"/>
    <x v="0"/>
    <n v="1"/>
    <d v="2022-09-10T00:00:00"/>
    <x v="5"/>
    <n v="8"/>
    <n v="6"/>
    <n v="18"/>
    <s v="No"/>
  </r>
  <r>
    <x v="554"/>
    <x v="2"/>
    <x v="1"/>
    <s v="Retail"/>
    <x v="2"/>
    <n v="29"/>
    <n v="879.58"/>
    <s v="Referral"/>
    <s v="North America"/>
    <d v="2022-07-28T00:00:00"/>
    <x v="1"/>
    <n v="0"/>
    <m/>
    <x v="1"/>
    <n v="2"/>
    <n v="5"/>
    <n v="71"/>
    <s v="No"/>
  </r>
  <r>
    <x v="555"/>
    <x v="2"/>
    <x v="0"/>
    <s v="Consulting"/>
    <x v="1"/>
    <n v="182"/>
    <n v="5601.85"/>
    <s v="Paid Ads"/>
    <s v="Latin America"/>
    <d v="2025-07-25T00:00:00"/>
    <x v="0"/>
    <n v="1"/>
    <d v="2025-07-28T00:00:00"/>
    <x v="5"/>
    <n v="4"/>
    <n v="1"/>
    <n v="21"/>
    <s v="No"/>
  </r>
  <r>
    <x v="556"/>
    <x v="1"/>
    <x v="0"/>
    <s v="Finance"/>
    <x v="4"/>
    <n v="82"/>
    <n v="381.35"/>
    <s v="Referral"/>
    <s v="North America"/>
    <d v="2025-10-11T00:00:00"/>
    <x v="1"/>
    <n v="0"/>
    <m/>
    <x v="1"/>
    <n v="1"/>
    <n v="6"/>
    <n v="33"/>
    <s v="No"/>
  </r>
  <r>
    <x v="557"/>
    <x v="2"/>
    <x v="0"/>
    <s v="Education"/>
    <x v="4"/>
    <n v="74"/>
    <n v="2378.0500000000002"/>
    <s v="Organic Search"/>
    <s v="Europe"/>
    <d v="2025-04-25T00:00:00"/>
    <x v="1"/>
    <n v="0"/>
    <m/>
    <x v="1"/>
    <n v="0"/>
    <n v="9"/>
    <n v="71"/>
    <s v="Yes"/>
  </r>
  <r>
    <x v="558"/>
    <x v="0"/>
    <x v="1"/>
    <s v="Healthcare"/>
    <x v="2"/>
    <n v="30"/>
    <n v="359.25"/>
    <s v="Partner"/>
    <s v="North America"/>
    <d v="2022-11-27T00:00:00"/>
    <x v="0"/>
    <n v="1"/>
    <d v="2023-09-11T00:00:00"/>
    <x v="4"/>
    <n v="11"/>
    <n v="1"/>
    <n v="26"/>
    <s v="No"/>
  </r>
  <r>
    <x v="559"/>
    <x v="1"/>
    <x v="0"/>
    <s v="Legal"/>
    <x v="2"/>
    <n v="6"/>
    <n v="50.75"/>
    <s v="Organic Search"/>
    <s v="Asia Pacific"/>
    <d v="2024-08-12T00:00:00"/>
    <x v="0"/>
    <n v="1"/>
    <d v="2025-06-24T00:00:00"/>
    <x v="0"/>
    <n v="9"/>
    <n v="1"/>
    <n v="45"/>
    <s v="No"/>
  </r>
  <r>
    <x v="560"/>
    <x v="3"/>
    <x v="0"/>
    <s v="Legal"/>
    <x v="2"/>
    <n v="17"/>
    <n v="1696.6"/>
    <s v="Organic Search"/>
    <s v="Asia Pacific"/>
    <d v="2023-07-21T00:00:00"/>
    <x v="1"/>
    <n v="0"/>
    <m/>
    <x v="1"/>
    <n v="9"/>
    <n v="3"/>
    <n v="41"/>
    <s v="No"/>
  </r>
  <r>
    <x v="561"/>
    <x v="2"/>
    <x v="0"/>
    <s v="Healthcare"/>
    <x v="0"/>
    <n v="30"/>
    <n v="1064.6500000000001"/>
    <s v="Referral"/>
    <s v="North America"/>
    <d v="2025-10-12T00:00:00"/>
    <x v="1"/>
    <n v="0"/>
    <m/>
    <x v="1"/>
    <n v="6"/>
    <n v="10"/>
    <n v="17"/>
    <s v="No"/>
  </r>
  <r>
    <x v="562"/>
    <x v="1"/>
    <x v="0"/>
    <s v="Technology"/>
    <x v="3"/>
    <n v="8"/>
    <n v="59.45"/>
    <s v="Organic Search"/>
    <s v="Asia Pacific"/>
    <d v="2024-11-09T00:00:00"/>
    <x v="0"/>
    <n v="1"/>
    <d v="2025-05-14T00:00:00"/>
    <x v="3"/>
    <n v="3"/>
    <n v="5"/>
    <n v="27"/>
    <s v="No"/>
  </r>
  <r>
    <x v="563"/>
    <x v="0"/>
    <x v="0"/>
    <s v="Technology"/>
    <x v="3"/>
    <n v="8"/>
    <n v="161.94999999999999"/>
    <s v="Paid Ads"/>
    <s v="Europe"/>
    <d v="2025-03-17T00:00:00"/>
    <x v="1"/>
    <n v="0"/>
    <m/>
    <x v="1"/>
    <n v="10"/>
    <n v="10"/>
    <n v="78"/>
    <s v="No"/>
  </r>
  <r>
    <x v="564"/>
    <x v="2"/>
    <x v="0"/>
    <s v="Manufacturing"/>
    <x v="3"/>
    <n v="6"/>
    <n v="348.25"/>
    <s v="Referral"/>
    <s v="Asia Pacific"/>
    <d v="2023-10-27T00:00:00"/>
    <x v="0"/>
    <n v="1"/>
    <d v="2025-11-02T00:00:00"/>
    <x v="0"/>
    <n v="10"/>
    <n v="1"/>
    <n v="19"/>
    <s v="No"/>
  </r>
  <r>
    <x v="565"/>
    <x v="0"/>
    <x v="0"/>
    <s v="Real Estate"/>
    <x v="3"/>
    <n v="8"/>
    <n v="161.94999999999999"/>
    <s v="Organic Search"/>
    <s v="Europe"/>
    <d v="2022-08-24T00:00:00"/>
    <x v="0"/>
    <n v="1"/>
    <d v="2022-09-23T00:00:00"/>
    <x v="4"/>
    <n v="1"/>
    <n v="3"/>
    <n v="15"/>
    <s v="No"/>
  </r>
  <r>
    <x v="566"/>
    <x v="1"/>
    <x v="1"/>
    <s v="Manufacturing"/>
    <x v="2"/>
    <n v="27"/>
    <n v="120.78"/>
    <s v="Direct Sales"/>
    <s v="Europe"/>
    <d v="2024-06-22T00:00:00"/>
    <x v="0"/>
    <n v="1"/>
    <d v="2024-08-18T00:00:00"/>
    <x v="4"/>
    <n v="10"/>
    <n v="4"/>
    <n v="11"/>
    <s v="No"/>
  </r>
  <r>
    <x v="567"/>
    <x v="1"/>
    <x v="1"/>
    <s v="Education"/>
    <x v="0"/>
    <n v="50"/>
    <n v="205.83"/>
    <s v="Referral"/>
    <s v="North America"/>
    <d v="2025-05-25T00:00:00"/>
    <x v="1"/>
    <n v="0"/>
    <m/>
    <x v="1"/>
    <n v="5"/>
    <n v="8"/>
    <n v="66"/>
    <s v="No"/>
  </r>
  <r>
    <x v="568"/>
    <x v="0"/>
    <x v="0"/>
    <s v="Healthcare"/>
    <x v="2"/>
    <n v="13"/>
    <n v="221.2"/>
    <s v="Organic Search"/>
    <s v="Europe"/>
    <d v="2025-05-31T00:00:00"/>
    <x v="1"/>
    <n v="0"/>
    <m/>
    <x v="1"/>
    <n v="5"/>
    <n v="5"/>
    <n v="53"/>
    <s v="No"/>
  </r>
  <r>
    <x v="569"/>
    <x v="2"/>
    <x v="1"/>
    <s v="Technology"/>
    <x v="2"/>
    <n v="23"/>
    <n v="727.34"/>
    <s v="Organic Search"/>
    <s v="North America"/>
    <d v="2024-05-07T00:00:00"/>
    <x v="1"/>
    <n v="0"/>
    <m/>
    <x v="1"/>
    <n v="2"/>
    <n v="5"/>
    <n v="19"/>
    <s v="No"/>
  </r>
  <r>
    <x v="570"/>
    <x v="1"/>
    <x v="0"/>
    <s v="Legal"/>
    <x v="3"/>
    <n v="2"/>
    <n v="33.35"/>
    <s v="Referral"/>
    <s v="North America"/>
    <d v="2022-02-06T00:00:00"/>
    <x v="0"/>
    <n v="1"/>
    <d v="2022-02-14T00:00:00"/>
    <x v="3"/>
    <n v="15"/>
    <n v="1"/>
    <n v="15"/>
    <s v="No"/>
  </r>
  <r>
    <x v="571"/>
    <x v="1"/>
    <x v="0"/>
    <s v="Manufacturing"/>
    <x v="3"/>
    <n v="3"/>
    <n v="37.700000000000003"/>
    <s v="Social Media"/>
    <s v="Asia Pacific"/>
    <d v="2022-11-08T00:00:00"/>
    <x v="0"/>
    <n v="1"/>
    <d v="2023-08-16T00:00:00"/>
    <x v="3"/>
    <n v="6"/>
    <n v="5"/>
    <n v="33"/>
    <s v="No"/>
  </r>
  <r>
    <x v="572"/>
    <x v="0"/>
    <x v="1"/>
    <s v="Consulting"/>
    <x v="0"/>
    <n v="34"/>
    <n v="399.54"/>
    <s v="Partner"/>
    <s v="Asia Pacific"/>
    <d v="2022-08-16T00:00:00"/>
    <x v="1"/>
    <n v="0"/>
    <m/>
    <x v="1"/>
    <n v="6"/>
    <n v="5"/>
    <n v="39"/>
    <s v="No"/>
  </r>
  <r>
    <x v="573"/>
    <x v="3"/>
    <x v="0"/>
    <s v="Education"/>
    <x v="0"/>
    <n v="78"/>
    <n v="6262.45"/>
    <s v="Paid Ads"/>
    <s v="North America"/>
    <d v="2023-10-05T00:00:00"/>
    <x v="1"/>
    <n v="0"/>
    <m/>
    <x v="1"/>
    <n v="1"/>
    <n v="9"/>
    <n v="50"/>
    <s v="Yes"/>
  </r>
  <r>
    <x v="574"/>
    <x v="2"/>
    <x v="1"/>
    <s v="Consulting"/>
    <x v="0"/>
    <n v="38"/>
    <n v="1107.93"/>
    <s v="Referral"/>
    <s v="North America"/>
    <d v="2025-11-09T00:00:00"/>
    <x v="1"/>
    <n v="0"/>
    <m/>
    <x v="1"/>
    <n v="11"/>
    <n v="8"/>
    <n v="26"/>
    <s v="No"/>
  </r>
  <r>
    <x v="575"/>
    <x v="1"/>
    <x v="1"/>
    <s v="Manufacturing"/>
    <x v="3"/>
    <n v="4"/>
    <n v="35.74"/>
    <s v="Partner"/>
    <s v="North America"/>
    <d v="2024-05-26T00:00:00"/>
    <x v="0"/>
    <n v="1"/>
    <d v="2024-06-14T00:00:00"/>
    <x v="0"/>
    <n v="1"/>
    <n v="5"/>
    <n v="35"/>
    <s v="No"/>
  </r>
  <r>
    <x v="576"/>
    <x v="1"/>
    <x v="1"/>
    <s v="Finance"/>
    <x v="4"/>
    <n v="123"/>
    <n v="475.74"/>
    <s v="Paid Ads"/>
    <s v="North America"/>
    <d v="2022-08-18T00:00:00"/>
    <x v="0"/>
    <n v="1"/>
    <d v="2023-08-30T00:00:00"/>
    <x v="0"/>
    <n v="5"/>
    <n v="3"/>
    <n v="22"/>
    <s v="No"/>
  </r>
  <r>
    <x v="577"/>
    <x v="0"/>
    <x v="0"/>
    <s v="Education"/>
    <x v="1"/>
    <n v="74"/>
    <n v="944.05"/>
    <s v="Organic Search"/>
    <s v="North America"/>
    <d v="2024-03-08T00:00:00"/>
    <x v="0"/>
    <n v="1"/>
    <d v="2025-10-26T00:00:00"/>
    <x v="7"/>
    <n v="9"/>
    <n v="3"/>
    <n v="38"/>
    <s v="No"/>
  </r>
  <r>
    <x v="578"/>
    <x v="0"/>
    <x v="0"/>
    <s v="Finance"/>
    <x v="2"/>
    <n v="9"/>
    <n v="173.8"/>
    <s v="Direct Sales"/>
    <s v="North America"/>
    <d v="2025-09-22T00:00:00"/>
    <x v="1"/>
    <n v="0"/>
    <m/>
    <x v="1"/>
    <n v="8"/>
    <n v="8"/>
    <n v="74"/>
    <s v="No"/>
  </r>
  <r>
    <x v="579"/>
    <x v="0"/>
    <x v="0"/>
    <s v="Education"/>
    <x v="4"/>
    <n v="33"/>
    <n v="458.2"/>
    <s v="Referral"/>
    <s v="North America"/>
    <d v="2024-03-20T00:00:00"/>
    <x v="0"/>
    <n v="1"/>
    <d v="2024-09-30T00:00:00"/>
    <x v="0"/>
    <n v="13"/>
    <n v="2"/>
    <n v="39"/>
    <s v="No"/>
  </r>
  <r>
    <x v="580"/>
    <x v="2"/>
    <x v="0"/>
    <s v="Technology"/>
    <x v="4"/>
    <n v="105"/>
    <n v="3303.4"/>
    <s v="Direct Sales"/>
    <s v="Asia Pacific"/>
    <d v="2024-11-10T00:00:00"/>
    <x v="1"/>
    <n v="0"/>
    <m/>
    <x v="1"/>
    <n v="0"/>
    <n v="8"/>
    <n v="75"/>
    <s v="Yes"/>
  </r>
  <r>
    <x v="581"/>
    <x v="0"/>
    <x v="0"/>
    <s v="Consulting"/>
    <x v="2"/>
    <n v="35"/>
    <n v="481.9"/>
    <s v="Partner"/>
    <s v="North America"/>
    <d v="2023-11-19T00:00:00"/>
    <x v="0"/>
    <n v="1"/>
    <d v="2025-07-16T00:00:00"/>
    <x v="2"/>
    <n v="0"/>
    <n v="2"/>
    <n v="32"/>
    <s v="No"/>
  </r>
  <r>
    <x v="582"/>
    <x v="0"/>
    <x v="0"/>
    <s v="Finance"/>
    <x v="3"/>
    <n v="4"/>
    <n v="114.55"/>
    <s v="Social Media"/>
    <s v="North America"/>
    <d v="2025-06-17T00:00:00"/>
    <x v="0"/>
    <n v="1"/>
    <d v="2025-06-19T00:00:00"/>
    <x v="0"/>
    <n v="3"/>
    <n v="5"/>
    <n v="50"/>
    <s v="No"/>
  </r>
  <r>
    <x v="583"/>
    <x v="2"/>
    <x v="0"/>
    <s v="Media"/>
    <x v="2"/>
    <n v="18"/>
    <n v="706.45"/>
    <s v="Organic Search"/>
    <s v="North America"/>
    <d v="2025-10-26T00:00:00"/>
    <x v="1"/>
    <n v="0"/>
    <m/>
    <x v="1"/>
    <n v="0"/>
    <n v="1"/>
    <n v="37"/>
    <s v="No"/>
  </r>
  <r>
    <x v="584"/>
    <x v="2"/>
    <x v="0"/>
    <s v="Technology"/>
    <x v="2"/>
    <n v="5"/>
    <n v="318.39999999999998"/>
    <s v="Direct Sales"/>
    <s v="North America"/>
    <d v="2023-11-16T00:00:00"/>
    <x v="1"/>
    <n v="0"/>
    <m/>
    <x v="1"/>
    <n v="0"/>
    <n v="4"/>
    <n v="77"/>
    <s v="Yes"/>
  </r>
  <r>
    <x v="585"/>
    <x v="1"/>
    <x v="0"/>
    <s v="Healthcare"/>
    <x v="4"/>
    <n v="116"/>
    <n v="529.25"/>
    <s v="Paid Ads"/>
    <s v="North America"/>
    <d v="2025-10-11T00:00:00"/>
    <x v="1"/>
    <n v="0"/>
    <m/>
    <x v="1"/>
    <n v="6"/>
    <n v="3"/>
    <n v="68"/>
    <s v="No"/>
  </r>
  <r>
    <x v="586"/>
    <x v="2"/>
    <x v="0"/>
    <s v="Technology"/>
    <x v="3"/>
    <n v="1"/>
    <n v="199"/>
    <s v="Referral"/>
    <s v="Latin America"/>
    <d v="2022-09-04T00:00:00"/>
    <x v="1"/>
    <n v="0"/>
    <m/>
    <x v="1"/>
    <n v="2"/>
    <n v="6"/>
    <n v="84"/>
    <s v="Yes"/>
  </r>
  <r>
    <x v="587"/>
    <x v="2"/>
    <x v="0"/>
    <s v="Retail"/>
    <x v="2"/>
    <n v="33"/>
    <n v="1154.2"/>
    <s v="Organic Search"/>
    <s v="Latin America"/>
    <d v="2023-01-17T00:00:00"/>
    <x v="0"/>
    <n v="1"/>
    <d v="2025-07-19T00:00:00"/>
    <x v="3"/>
    <n v="1"/>
    <n v="3"/>
    <n v="37"/>
    <s v="No"/>
  </r>
  <r>
    <x v="588"/>
    <x v="1"/>
    <x v="1"/>
    <s v="Healthcare"/>
    <x v="3"/>
    <n v="7"/>
    <n v="46.83"/>
    <s v="Referral"/>
    <s v="Latin America"/>
    <d v="2023-11-21T00:00:00"/>
    <x v="0"/>
    <n v="1"/>
    <d v="2024-07-08T00:00:00"/>
    <x v="4"/>
    <n v="11"/>
    <n v="1"/>
    <n v="18"/>
    <s v="No"/>
  </r>
  <r>
    <x v="589"/>
    <x v="1"/>
    <x v="0"/>
    <s v="Consulting"/>
    <x v="2"/>
    <n v="21"/>
    <n v="116"/>
    <s v="Organic Search"/>
    <s v="Latin America"/>
    <d v="2023-09-20T00:00:00"/>
    <x v="0"/>
    <n v="1"/>
    <d v="2023-11-21T00:00:00"/>
    <x v="6"/>
    <n v="11"/>
    <n v="3"/>
    <n v="16"/>
    <s v="No"/>
  </r>
  <r>
    <x v="590"/>
    <x v="2"/>
    <x v="0"/>
    <s v="Technology"/>
    <x v="2"/>
    <n v="6"/>
    <n v="348.25"/>
    <s v="Organic Search"/>
    <s v="North America"/>
    <d v="2023-11-22T00:00:00"/>
    <x v="1"/>
    <n v="0"/>
    <m/>
    <x v="1"/>
    <n v="1"/>
    <n v="2"/>
    <n v="27"/>
    <s v="Yes"/>
  </r>
  <r>
    <x v="591"/>
    <x v="0"/>
    <x v="0"/>
    <s v="Media"/>
    <x v="2"/>
    <n v="6"/>
    <n v="138.25"/>
    <s v="Partner"/>
    <s v="Europe"/>
    <d v="2022-10-02T00:00:00"/>
    <x v="0"/>
    <n v="1"/>
    <d v="2024-02-13T00:00:00"/>
    <x v="2"/>
    <n v="5"/>
    <n v="3"/>
    <n v="11"/>
    <s v="No"/>
  </r>
  <r>
    <x v="592"/>
    <x v="2"/>
    <x v="0"/>
    <s v="Real Estate"/>
    <x v="0"/>
    <n v="47"/>
    <n v="1572.1"/>
    <s v="Organic Search"/>
    <s v="North America"/>
    <d v="2023-02-07T00:00:00"/>
    <x v="1"/>
    <n v="0"/>
    <m/>
    <x v="1"/>
    <n v="1"/>
    <n v="9"/>
    <n v="27"/>
    <s v="No"/>
  </r>
  <r>
    <x v="593"/>
    <x v="2"/>
    <x v="1"/>
    <s v="Legal"/>
    <x v="0"/>
    <n v="76"/>
    <n v="2072.09"/>
    <s v="Organic Search"/>
    <s v="Asia Pacific"/>
    <d v="2022-12-14T00:00:00"/>
    <x v="0"/>
    <n v="1"/>
    <d v="2023-04-10T00:00:00"/>
    <x v="0"/>
    <n v="4"/>
    <n v="2"/>
    <n v="35"/>
    <s v="No"/>
  </r>
  <r>
    <x v="594"/>
    <x v="2"/>
    <x v="0"/>
    <s v="Manufacturing"/>
    <x v="2"/>
    <n v="11"/>
    <n v="497.5"/>
    <s v="Organic Search"/>
    <s v="Europe"/>
    <d v="2023-04-11T00:00:00"/>
    <x v="0"/>
    <n v="1"/>
    <d v="2024-11-14T00:00:00"/>
    <x v="7"/>
    <n v="3"/>
    <n v="3"/>
    <n v="48"/>
    <s v="No"/>
  </r>
  <r>
    <x v="595"/>
    <x v="0"/>
    <x v="1"/>
    <s v="Healthcare"/>
    <x v="2"/>
    <n v="32"/>
    <n v="379.4"/>
    <s v="Referral"/>
    <s v="North America"/>
    <d v="2024-12-05T00:00:00"/>
    <x v="1"/>
    <n v="0"/>
    <m/>
    <x v="1"/>
    <n v="3"/>
    <n v="6"/>
    <n v="65"/>
    <s v="Yes"/>
  </r>
  <r>
    <x v="596"/>
    <x v="0"/>
    <x v="1"/>
    <s v="Technology"/>
    <x v="4"/>
    <n v="106"/>
    <n v="1124.76"/>
    <s v="Direct Sales"/>
    <s v="Europe"/>
    <d v="2023-06-25T00:00:00"/>
    <x v="1"/>
    <n v="0"/>
    <m/>
    <x v="1"/>
    <n v="3"/>
    <n v="3"/>
    <n v="57"/>
    <s v="No"/>
  </r>
  <r>
    <x v="597"/>
    <x v="1"/>
    <x v="0"/>
    <s v="Technology"/>
    <x v="4"/>
    <n v="84"/>
    <n v="390.05"/>
    <s v="Organic Search"/>
    <s v="Latin America"/>
    <d v="2023-09-05T00:00:00"/>
    <x v="1"/>
    <n v="0"/>
    <m/>
    <x v="1"/>
    <n v="3"/>
    <n v="4"/>
    <n v="67"/>
    <s v="No"/>
  </r>
  <r>
    <x v="598"/>
    <x v="0"/>
    <x v="1"/>
    <s v="Retail"/>
    <x v="2"/>
    <n v="18"/>
    <n v="238.38"/>
    <s v="Organic Search"/>
    <s v="North America"/>
    <d v="2023-06-30T00:00:00"/>
    <x v="1"/>
    <n v="0"/>
    <m/>
    <x v="1"/>
    <n v="11"/>
    <n v="4"/>
    <n v="50"/>
    <s v="No"/>
  </r>
  <r>
    <x v="599"/>
    <x v="1"/>
    <x v="0"/>
    <s v="Media"/>
    <x v="1"/>
    <n v="87"/>
    <n v="403.1"/>
    <s v="Partner"/>
    <s v="Europe"/>
    <d v="2025-11-15T00:00:00"/>
    <x v="1"/>
    <n v="0"/>
    <m/>
    <x v="1"/>
    <n v="10"/>
    <n v="10"/>
    <n v="70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A3FF4-3C3E-466F-87AE-E82615E98083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D19" firstHeaderRow="1" firstDataRow="2" firstDataCol="1"/>
  <pivotFields count="18">
    <pivotField showAll="0"/>
    <pivotField axis="axisRow" showAll="0">
      <items count="5">
        <item x="2"/>
        <item x="3"/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hurn_Flag" fld="11" subtotal="average" baseField="1" baseItem="0"/>
  </dataFields>
  <formats count="8">
    <format dxfId="8">
      <pivotArea collapsedLevelsAreSubtotals="1" fieldPosition="0">
        <references count="2">
          <reference field="1" count="1">
            <x v="0"/>
          </reference>
          <reference field="2" count="1" selected="0">
            <x v="0"/>
          </reference>
        </references>
      </pivotArea>
    </format>
    <format dxfId="7">
      <pivotArea collapsedLevelsAreSubtotals="1" fieldPosition="0">
        <references count="2">
          <reference field="1" count="1">
            <x v="1"/>
          </reference>
          <reference field="2" count="1" selected="0">
            <x v="0"/>
          </reference>
        </references>
      </pivotArea>
    </format>
    <format dxfId="6">
      <pivotArea collapsedLevelsAreSubtotals="1" fieldPosition="0">
        <references count="2">
          <reference field="1" count="1">
            <x v="2"/>
          </reference>
          <reference field="2" count="1" selected="0">
            <x v="0"/>
          </reference>
        </references>
      </pivotArea>
    </format>
    <format dxfId="5">
      <pivotArea collapsedLevelsAreSubtotals="1" fieldPosition="0">
        <references count="2">
          <reference field="1" count="1">
            <x v="3"/>
          </reference>
          <reference field="2" count="1" selected="0">
            <x v="0"/>
          </reference>
        </references>
      </pivotArea>
    </format>
    <format dxfId="4">
      <pivotArea collapsedLevelsAreSubtotals="1" fieldPosition="0">
        <references count="2">
          <reference field="1" count="1">
            <x v="0"/>
          </reference>
          <reference field="2" count="1" selected="0">
            <x v="1"/>
          </reference>
        </references>
      </pivotArea>
    </format>
    <format dxfId="3">
      <pivotArea collapsedLevelsAreSubtotals="1" fieldPosition="0">
        <references count="2">
          <reference field="1" count="1">
            <x v="1"/>
          </reference>
          <reference field="2" count="1" selected="0">
            <x v="1"/>
          </reference>
        </references>
      </pivotArea>
    </format>
    <format dxfId="2">
      <pivotArea collapsedLevelsAreSubtotals="1" fieldPosition="0">
        <references count="2">
          <reference field="1" count="1">
            <x v="2"/>
          </reference>
          <reference field="2" count="1" selected="0">
            <x v="1"/>
          </reference>
        </references>
      </pivotArea>
    </format>
    <format dxfId="1">
      <pivotArea collapsedLevelsAreSubtotals="1" fieldPosition="0">
        <references count="2">
          <reference field="1" count="1">
            <x v="3"/>
          </reference>
          <reference field="2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68AA7-5C0C-4642-A506-7995BA51C2AB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C11" firstHeaderRow="0" firstDataRow="1" firstDataCol="1"/>
  <pivotFields count="18">
    <pivotField dataField="1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_id" fld="0" subtotal="count" baseField="0" baseItem="0"/>
    <dataField name="Sum of Churn_Flag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F51D23-2C9B-43C9-97A6-935B6CD10348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6" firstHeaderRow="0" firstDataRow="1" firstDataCol="1"/>
  <pivotFields count="18">
    <pivotField dataField="1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_id" fld="0" subtotal="count" baseField="0" baseItem="0"/>
    <dataField name="Sum of Churn_Flag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242F8-FC30-4243-ACC3-B0CC00B906B6}" name="PivotTable8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L49" firstHeaderRow="1" firstDataRow="1" firstDataCol="1" rowPageCount="1" colPageCount="1"/>
  <pivotFields count="18">
    <pivotField dataField="1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showAll="0"/>
    <pivotField showAll="0"/>
    <pivotField showAll="0"/>
    <pivotField axis="axisRow" showAll="0">
      <items count="6">
        <item x="3"/>
        <item x="2"/>
        <item x="4"/>
        <item x="1"/>
        <item x="0"/>
        <item t="default"/>
      </items>
    </pivotField>
    <pivotField showAll="0"/>
    <pivotField showAll="0"/>
    <pivotField showAll="0"/>
    <pivotField showAll="0"/>
    <pivotField numFmtId="14" showAll="0"/>
    <pivotField axis="axisPage" showAll="0">
      <items count="3">
        <item x="1"/>
        <item x="0"/>
        <item t="default"/>
      </items>
    </pivotField>
    <pivotField showAll="0"/>
    <pivotField showAll="0"/>
    <pivotField axis="axisRow" showAll="0">
      <items count="9">
        <item x="1"/>
        <item x="4"/>
        <item x="5"/>
        <item x="7"/>
        <item x="6"/>
        <item x="2"/>
        <item x="0"/>
        <item x="3"/>
        <item t="default"/>
      </items>
    </pivotField>
    <pivotField showAll="0"/>
    <pivotField showAll="0"/>
    <pivotField showAll="0"/>
    <pivotField showAll="0"/>
  </pivotFields>
  <rowFields count="2">
    <field x="4"/>
    <field x="13"/>
  </rowFields>
  <rowItems count="4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pageFields count="1">
    <pageField fld="10" hier="-1"/>
  </pageFields>
  <dataFields count="1">
    <dataField name="Count of customer_id" fld="0" subtotal="count" baseField="4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B0C1E3-15D1-41BE-AA28-455FC4AB4FEB}" name="PivotTable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35" firstHeaderRow="1" firstDataRow="1" firstDataCol="1" rowPageCount="1" colPageCount="1"/>
  <pivotFields count="18">
    <pivotField dataField="1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Page" showAll="0">
      <items count="3">
        <item x="1"/>
        <item x="0"/>
        <item t="default"/>
      </items>
    </pivotField>
    <pivotField showAll="0"/>
    <pivotField showAll="0"/>
    <pivotField axis="axisRow" showAll="0">
      <items count="9">
        <item x="1"/>
        <item x="5"/>
        <item x="4"/>
        <item x="7"/>
        <item x="6"/>
        <item x="2"/>
        <item x="0"/>
        <item x="3"/>
        <item t="default"/>
      </items>
    </pivotField>
    <pivotField showAll="0"/>
    <pivotField showAll="0"/>
    <pivotField showAll="0"/>
    <pivotField showAll="0"/>
  </pivotFields>
  <rowFields count="2">
    <field x="1"/>
    <field x="13"/>
  </rowFields>
  <rowItems count="32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 v="1"/>
    </i>
    <i r="1">
      <x v="3"/>
    </i>
    <i r="1">
      <x v="4"/>
    </i>
    <i r="1">
      <x v="5"/>
    </i>
    <i r="1">
      <x v="6"/>
    </i>
    <i r="1">
      <x v="7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pageFields count="1">
    <pageField fld="10" item="1" hier="-1"/>
  </pageFields>
  <dataFields count="1">
    <dataField name="Count of customer_id" fld="0" subtotal="count" baseField="1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BA35D0-431F-4BB8-806D-BB75F5BB678B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 rowPageCount="1" colPageCount="1"/>
  <pivotFields count="18">
    <pivotField dataField="1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Page" showAll="0">
      <items count="3">
        <item x="1"/>
        <item x="0"/>
        <item t="default"/>
      </items>
    </pivotField>
    <pivotField showAll="0"/>
    <pivotField showAll="0"/>
    <pivotField axis="axisRow" showAll="0">
      <items count="9">
        <item x="1"/>
        <item x="4"/>
        <item x="5"/>
        <item x="7"/>
        <item x="6"/>
        <item x="2"/>
        <item x="0"/>
        <item x="3"/>
        <item t="default"/>
      </items>
    </pivotField>
    <pivotField showAll="0"/>
    <pivotField showAll="0"/>
    <pivotField showAll="0"/>
    <pivotField showAll="0"/>
  </pivotFields>
  <rowFields count="1">
    <field x="1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0" hier="-1"/>
  </pageFields>
  <dataFields count="1">
    <dataField name="Count of customer_id" fld="0" subtotal="count" baseField="0" baseItem="0"/>
  </dataFields>
  <formats count="1">
    <format dxfId="0">
      <pivotArea dataOnly="0" fieldPosition="0">
        <references count="1">
          <reference field="13" count="3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8B20937-DBD5-495B-AB6A-4B4E9D2C2ED7}" autoFormatId="16" applyNumberFormats="0" applyBorderFormats="0" applyFontFormats="0" applyPatternFormats="0" applyAlignmentFormats="0" applyWidthHeightFormats="0">
  <queryTableRefresh nextId="19">
    <queryTableFields count="18">
      <queryTableField id="1" name="customer_id" tableColumnId="1"/>
      <queryTableField id="2" name="plan" tableColumnId="2"/>
      <queryTableField id="3" name="billing_cycle" tableColumnId="3"/>
      <queryTableField id="4" name="industry" tableColumnId="4"/>
      <queryTableField id="5" name="company_size" tableColumnId="5"/>
      <queryTableField id="6" name="seats" tableColumnId="6"/>
      <queryTableField id="7" name="monthly_revenue" tableColumnId="7"/>
      <queryTableField id="8" name="acquisition_channel" tableColumnId="8"/>
      <queryTableField id="9" name="region" tableColumnId="9"/>
      <queryTableField id="10" name="signup_date" tableColumnId="10"/>
      <queryTableField id="11" name="churned" tableColumnId="11"/>
      <queryTableField id="18" dataBound="0" tableColumnId="18"/>
      <queryTableField id="12" name="churn_date" tableColumnId="12"/>
      <queryTableField id="13" name="churn_reason" tableColumnId="13"/>
      <queryTableField id="14" name="support_tickets_12mo" tableColumnId="14"/>
      <queryTableField id="15" name="nps_score" tableColumnId="15"/>
      <queryTableField id="16" name="feature_usage_pct" tableColumnId="16"/>
      <queryTableField id="17" name="upgraded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8146BB-2104-4E0C-8498-0B368C36DA11}" autoFormatId="16" applyNumberFormats="0" applyBorderFormats="0" applyFontFormats="0" applyPatternFormats="0" applyAlignmentFormats="0" applyWidthHeightFormats="0">
  <queryTableRefresh nextId="9">
    <queryTableFields count="8">
      <queryTableField id="1" name="month" tableColumnId="1"/>
      <queryTableField id="2" name="total_active_customers" tableColumnId="2"/>
      <queryTableField id="3" name="new_customers" tableColumnId="3"/>
      <queryTableField id="4" name="churned_customers" tableColumnId="4"/>
      <queryTableField id="5" name="monthly_churn_rate_pct" tableColumnId="5"/>
      <queryTableField id="6" name="total_mrr" tableColumnId="6"/>
      <queryTableField id="7" name="avg_revenue_per_customer" tableColumnId="7"/>
      <queryTableField id="8" name="customer_acquisition_cos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5B8373-41FD-46C2-AD00-055E2E3D2EA3}" name="Subscriptions" displayName="Subscriptions" ref="A1:R601" tableType="queryTable" totalsRowShown="0">
  <autoFilter ref="A1:R601" xr:uid="{A45B8373-41FD-46C2-AD00-055E2E3D2EA3}"/>
  <tableColumns count="18">
    <tableColumn id="1" xr3:uid="{E309529B-0986-421A-A8EF-47D3E22A24C8}" uniqueName="1" name="customer_id" queryTableFieldId="1" dataDxfId="22"/>
    <tableColumn id="2" xr3:uid="{1D8703AD-1F89-4039-820D-FC9C5A8A5578}" uniqueName="2" name="plan" queryTableFieldId="2" dataDxfId="21"/>
    <tableColumn id="3" xr3:uid="{60E1DAE7-C374-4392-89D0-C785B5AD3FEF}" uniqueName="3" name="billing_cycle" queryTableFieldId="3" dataDxfId="20"/>
    <tableColumn id="4" xr3:uid="{91D97E37-2022-443C-844B-4D771794428B}" uniqueName="4" name="industry" queryTableFieldId="4" dataDxfId="19"/>
    <tableColumn id="5" xr3:uid="{EEE5C6DE-AB6C-4656-AD54-3C70D55ED580}" uniqueName="5" name="company_size" queryTableFieldId="5" dataDxfId="18"/>
    <tableColumn id="6" xr3:uid="{C5507980-5041-4D1B-8392-8DB5D2D3791D}" uniqueName="6" name="seats" queryTableFieldId="6"/>
    <tableColumn id="7" xr3:uid="{D6E82071-5AB9-4FCD-984E-73D67E835444}" uniqueName="7" name="monthly_revenue" queryTableFieldId="7"/>
    <tableColumn id="8" xr3:uid="{291E90CC-2AF8-4D9B-AB14-2DD4347C1568}" uniqueName="8" name="acquisition_channel" queryTableFieldId="8" dataDxfId="17"/>
    <tableColumn id="9" xr3:uid="{BCCB8F56-50EA-4457-912D-AC97FBE6E136}" uniqueName="9" name="region" queryTableFieldId="9" dataDxfId="16"/>
    <tableColumn id="10" xr3:uid="{8CB6C2A3-9082-40D6-87BC-490F335E9534}" uniqueName="10" name="signup_date" queryTableFieldId="10" dataDxfId="15"/>
    <tableColumn id="11" xr3:uid="{E1A1950D-454A-498A-AC2B-85342D88092E}" uniqueName="11" name="churned" queryTableFieldId="11" dataDxfId="14"/>
    <tableColumn id="18" xr3:uid="{416F59F9-F550-47E0-97D5-F474E8CA423B}" uniqueName="18" name="Churn_Flag" queryTableFieldId="18" dataDxfId="9">
      <calculatedColumnFormula>IF(Subscriptions[[#This Row],[churned]]="Yes",1,0)</calculatedColumnFormula>
    </tableColumn>
    <tableColumn id="12" xr3:uid="{6726F3DE-F6D5-480E-A63F-544744669B8E}" uniqueName="12" name="churn_date" queryTableFieldId="12" dataDxfId="13"/>
    <tableColumn id="13" xr3:uid="{DBA653A0-DF3F-4CEC-A925-55EC10EC6E13}" uniqueName="13" name="churn_reason" queryTableFieldId="13" dataDxfId="12"/>
    <tableColumn id="14" xr3:uid="{DA6DAFAB-6939-42CB-A36C-5EC9AE140B86}" uniqueName="14" name="support_tickets_12mo" queryTableFieldId="14"/>
    <tableColumn id="15" xr3:uid="{EC543E2F-ABA3-4489-8402-89EB0EBF63C1}" uniqueName="15" name="nps_score" queryTableFieldId="15"/>
    <tableColumn id="16" xr3:uid="{39168E38-12FF-41D8-9E5F-6DA7BC2A9AF7}" uniqueName="16" name="feature_usage_pct" queryTableFieldId="16"/>
    <tableColumn id="17" xr3:uid="{E72FF686-EFDC-4C72-9E13-F6C1A76B9873}" uniqueName="17" name="upgraded" queryTableFieldId="17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369BEE-1523-4438-8B2A-9B5D2D70CF1A}" name="MonthlyRevenue" displayName="MonthlyRevenue" ref="A1:H49" tableType="queryTable" totalsRowShown="0">
  <autoFilter ref="A1:H49" xr:uid="{43369BEE-1523-4438-8B2A-9B5D2D70CF1A}"/>
  <tableColumns count="8">
    <tableColumn id="1" xr3:uid="{183701AF-1914-455E-90CE-93194771774E}" uniqueName="1" name="month" queryTableFieldId="1" dataDxfId="10"/>
    <tableColumn id="2" xr3:uid="{22EEB81F-74D6-4B7A-805D-E985DC623E6D}" uniqueName="2" name="total_active_customers" queryTableFieldId="2"/>
    <tableColumn id="3" xr3:uid="{4C7F5C0B-DA6B-417B-BB2B-BE5A1D3581EC}" uniqueName="3" name="new_customers" queryTableFieldId="3"/>
    <tableColumn id="4" xr3:uid="{24A66295-B85B-4C89-AA1B-A87C1CD2E214}" uniqueName="4" name="churned_customers" queryTableFieldId="4"/>
    <tableColumn id="5" xr3:uid="{A192E72D-095E-4A21-8F9B-21A10A251DF3}" uniqueName="5" name="monthly_churn_rate_pct" queryTableFieldId="5"/>
    <tableColumn id="6" xr3:uid="{4E7D58F1-A51D-4673-832C-E556ADFA9B3E}" uniqueName="6" name="total_mrr" queryTableFieldId="6"/>
    <tableColumn id="7" xr3:uid="{44658569-9931-4ABA-ADBC-DA916A96BC08}" uniqueName="7" name="avg_revenue_per_customer" queryTableFieldId="7"/>
    <tableColumn id="8" xr3:uid="{A7AC04A5-191C-4303-9C5A-5DCCCC944AC0}" uniqueName="8" name="customer_acquisition_cost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3D41-37A0-403F-B551-EF597BDFB3CE}">
  <dimension ref="A1:R601"/>
  <sheetViews>
    <sheetView topLeftCell="A2" workbookViewId="0">
      <selection activeCell="L3" sqref="L3"/>
    </sheetView>
  </sheetViews>
  <sheetFormatPr defaultRowHeight="13.5" x14ac:dyDescent="0.35"/>
  <cols>
    <col min="1" max="1" width="13.5625" bestFit="1" customWidth="1"/>
    <col min="2" max="2" width="10.75" bestFit="1" customWidth="1"/>
    <col min="3" max="3" width="13.625" bestFit="1" customWidth="1"/>
    <col min="4" max="4" width="12.125" bestFit="1" customWidth="1"/>
    <col min="5" max="5" width="15.25" bestFit="1" customWidth="1"/>
    <col min="6" max="6" width="7.375" bestFit="1" customWidth="1"/>
    <col min="7" max="7" width="17.9375" bestFit="1" customWidth="1"/>
    <col min="8" max="8" width="20.375" bestFit="1" customWidth="1"/>
    <col min="9" max="9" width="12.375" bestFit="1" customWidth="1"/>
    <col min="10" max="10" width="13.5" bestFit="1" customWidth="1"/>
    <col min="11" max="11" width="9.9375" bestFit="1" customWidth="1"/>
    <col min="12" max="12" width="9.9375" customWidth="1"/>
    <col min="13" max="13" width="12.5625" bestFit="1" customWidth="1"/>
    <col min="14" max="14" width="17.625" bestFit="1" customWidth="1"/>
    <col min="15" max="15" width="22.1875" bestFit="1" customWidth="1"/>
    <col min="16" max="16" width="11.8125" bestFit="1" customWidth="1"/>
    <col min="17" max="17" width="18.9375" bestFit="1" customWidth="1"/>
    <col min="18" max="18" width="11.0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672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>
        <v>64</v>
      </c>
      <c r="G2">
        <v>825.55</v>
      </c>
      <c r="H2" s="1" t="s">
        <v>22</v>
      </c>
      <c r="I2" s="1" t="s">
        <v>23</v>
      </c>
      <c r="J2" s="2">
        <v>44739</v>
      </c>
      <c r="K2" s="1" t="s">
        <v>24</v>
      </c>
      <c r="L2" s="1">
        <f>IF(Subscriptions[[#This Row],[churned]]="Yes",1,0)</f>
        <v>1</v>
      </c>
      <c r="M2" s="2">
        <v>45356</v>
      </c>
      <c r="N2" s="1" t="s">
        <v>25</v>
      </c>
      <c r="O2">
        <v>13</v>
      </c>
      <c r="P2">
        <v>3</v>
      </c>
      <c r="Q2">
        <v>15</v>
      </c>
      <c r="R2" s="1" t="s">
        <v>26</v>
      </c>
    </row>
    <row r="3" spans="1:18" x14ac:dyDescent="0.35">
      <c r="A3" s="1" t="s">
        <v>27</v>
      </c>
      <c r="B3" s="1" t="s">
        <v>18</v>
      </c>
      <c r="C3" s="1" t="s">
        <v>28</v>
      </c>
      <c r="D3" s="1" t="s">
        <v>20</v>
      </c>
      <c r="E3" s="1" t="s">
        <v>21</v>
      </c>
      <c r="F3">
        <v>35</v>
      </c>
      <c r="G3">
        <v>409.62</v>
      </c>
      <c r="H3" s="1" t="s">
        <v>29</v>
      </c>
      <c r="I3" s="1" t="s">
        <v>23</v>
      </c>
      <c r="J3" s="2">
        <v>45004</v>
      </c>
      <c r="K3" s="1" t="s">
        <v>26</v>
      </c>
      <c r="L3" s="1">
        <f>IF(Subscriptions[[#This Row],[churned]]="Yes",1,0)</f>
        <v>0</v>
      </c>
      <c r="M3" s="2"/>
      <c r="N3" s="1" t="s">
        <v>30</v>
      </c>
      <c r="O3">
        <v>1</v>
      </c>
      <c r="P3">
        <v>3</v>
      </c>
      <c r="Q3">
        <v>52</v>
      </c>
      <c r="R3" s="1" t="s">
        <v>24</v>
      </c>
    </row>
    <row r="4" spans="1:18" x14ac:dyDescent="0.35">
      <c r="A4" s="1" t="s">
        <v>31</v>
      </c>
      <c r="B4" s="1" t="s">
        <v>32</v>
      </c>
      <c r="C4" s="1" t="s">
        <v>28</v>
      </c>
      <c r="D4" s="1" t="s">
        <v>33</v>
      </c>
      <c r="E4" s="1" t="s">
        <v>34</v>
      </c>
      <c r="F4">
        <v>266</v>
      </c>
      <c r="G4">
        <v>1004.49</v>
      </c>
      <c r="H4" s="1" t="s">
        <v>35</v>
      </c>
      <c r="I4" s="1" t="s">
        <v>23</v>
      </c>
      <c r="J4" s="2">
        <v>45584</v>
      </c>
      <c r="K4" s="1" t="s">
        <v>24</v>
      </c>
      <c r="L4" s="1">
        <f>IF(Subscriptions[[#This Row],[churned]]="Yes",1,0)</f>
        <v>1</v>
      </c>
      <c r="M4" s="2">
        <v>45760</v>
      </c>
      <c r="N4" s="1" t="s">
        <v>25</v>
      </c>
      <c r="O4">
        <v>10</v>
      </c>
      <c r="P4">
        <v>4</v>
      </c>
      <c r="Q4">
        <v>31</v>
      </c>
      <c r="R4" s="1" t="s">
        <v>26</v>
      </c>
    </row>
    <row r="5" spans="1:18" x14ac:dyDescent="0.35">
      <c r="A5" s="1" t="s">
        <v>36</v>
      </c>
      <c r="B5" s="1" t="s">
        <v>37</v>
      </c>
      <c r="C5" s="1" t="s">
        <v>28</v>
      </c>
      <c r="D5" s="1" t="s">
        <v>38</v>
      </c>
      <c r="E5" s="1" t="s">
        <v>39</v>
      </c>
      <c r="F5">
        <v>34</v>
      </c>
      <c r="G5">
        <v>1006.44</v>
      </c>
      <c r="H5" s="1" t="s">
        <v>35</v>
      </c>
      <c r="I5" s="1" t="s">
        <v>40</v>
      </c>
      <c r="J5" s="2">
        <v>44933</v>
      </c>
      <c r="K5" s="1" t="s">
        <v>26</v>
      </c>
      <c r="L5" s="1">
        <f>IF(Subscriptions[[#This Row],[churned]]="Yes",1,0)</f>
        <v>0</v>
      </c>
      <c r="M5" s="2"/>
      <c r="N5" s="1" t="s">
        <v>30</v>
      </c>
      <c r="O5">
        <v>3</v>
      </c>
      <c r="P5">
        <v>7</v>
      </c>
      <c r="Q5">
        <v>58</v>
      </c>
      <c r="R5" s="1" t="s">
        <v>26</v>
      </c>
    </row>
    <row r="6" spans="1:18" x14ac:dyDescent="0.35">
      <c r="A6" s="1" t="s">
        <v>41</v>
      </c>
      <c r="B6" s="1" t="s">
        <v>32</v>
      </c>
      <c r="C6" s="1" t="s">
        <v>28</v>
      </c>
      <c r="D6" s="1" t="s">
        <v>42</v>
      </c>
      <c r="E6" s="1" t="s">
        <v>21</v>
      </c>
      <c r="F6">
        <v>48</v>
      </c>
      <c r="G6">
        <v>198.43</v>
      </c>
      <c r="H6" s="1" t="s">
        <v>29</v>
      </c>
      <c r="I6" s="1" t="s">
        <v>23</v>
      </c>
      <c r="J6" s="2">
        <v>45923</v>
      </c>
      <c r="K6" s="1" t="s">
        <v>26</v>
      </c>
      <c r="L6" s="1">
        <f>IF(Subscriptions[[#This Row],[churned]]="Yes",1,0)</f>
        <v>0</v>
      </c>
      <c r="M6" s="2"/>
      <c r="N6" s="1" t="s">
        <v>30</v>
      </c>
      <c r="O6">
        <v>3</v>
      </c>
      <c r="P6">
        <v>7</v>
      </c>
      <c r="Q6">
        <v>59</v>
      </c>
      <c r="R6" s="1" t="s">
        <v>26</v>
      </c>
    </row>
    <row r="7" spans="1:18" x14ac:dyDescent="0.35">
      <c r="A7" s="1" t="s">
        <v>43</v>
      </c>
      <c r="B7" s="1" t="s">
        <v>37</v>
      </c>
      <c r="C7" s="1" t="s">
        <v>28</v>
      </c>
      <c r="D7" s="1" t="s">
        <v>44</v>
      </c>
      <c r="E7" s="1" t="s">
        <v>45</v>
      </c>
      <c r="F7">
        <v>3</v>
      </c>
      <c r="G7">
        <v>219.9</v>
      </c>
      <c r="H7" s="1" t="s">
        <v>46</v>
      </c>
      <c r="I7" s="1" t="s">
        <v>23</v>
      </c>
      <c r="J7" s="2">
        <v>45197</v>
      </c>
      <c r="K7" s="1" t="s">
        <v>26</v>
      </c>
      <c r="L7" s="1">
        <f>IF(Subscriptions[[#This Row],[churned]]="Yes",1,0)</f>
        <v>0</v>
      </c>
      <c r="M7" s="2"/>
      <c r="N7" s="1" t="s">
        <v>30</v>
      </c>
      <c r="O7">
        <v>12</v>
      </c>
      <c r="P7">
        <v>3</v>
      </c>
      <c r="Q7">
        <v>48</v>
      </c>
      <c r="R7" s="1" t="s">
        <v>26</v>
      </c>
    </row>
    <row r="8" spans="1:18" x14ac:dyDescent="0.35">
      <c r="A8" s="1" t="s">
        <v>47</v>
      </c>
      <c r="B8" s="1" t="s">
        <v>32</v>
      </c>
      <c r="C8" s="1" t="s">
        <v>19</v>
      </c>
      <c r="D8" s="1" t="s">
        <v>33</v>
      </c>
      <c r="E8" s="1" t="s">
        <v>48</v>
      </c>
      <c r="F8">
        <v>121</v>
      </c>
      <c r="G8">
        <v>551</v>
      </c>
      <c r="H8" s="1" t="s">
        <v>35</v>
      </c>
      <c r="I8" s="1" t="s">
        <v>40</v>
      </c>
      <c r="J8" s="2">
        <v>45358</v>
      </c>
      <c r="K8" s="1" t="s">
        <v>24</v>
      </c>
      <c r="L8" s="1">
        <f>IF(Subscriptions[[#This Row],[churned]]="Yes",1,0)</f>
        <v>1</v>
      </c>
      <c r="M8" s="2">
        <v>45755</v>
      </c>
      <c r="N8" s="1" t="s">
        <v>49</v>
      </c>
      <c r="O8">
        <v>0</v>
      </c>
      <c r="P8">
        <v>2</v>
      </c>
      <c r="Q8">
        <v>14</v>
      </c>
      <c r="R8" s="1" t="s">
        <v>26</v>
      </c>
    </row>
    <row r="9" spans="1:18" x14ac:dyDescent="0.35">
      <c r="A9" s="1" t="s">
        <v>50</v>
      </c>
      <c r="B9" s="1" t="s">
        <v>32</v>
      </c>
      <c r="C9" s="1" t="s">
        <v>19</v>
      </c>
      <c r="D9" s="1" t="s">
        <v>44</v>
      </c>
      <c r="E9" s="1" t="s">
        <v>21</v>
      </c>
      <c r="F9">
        <v>48</v>
      </c>
      <c r="G9">
        <v>233.45</v>
      </c>
      <c r="H9" s="1" t="s">
        <v>46</v>
      </c>
      <c r="I9" s="1" t="s">
        <v>40</v>
      </c>
      <c r="J9" s="2">
        <v>45755</v>
      </c>
      <c r="K9" s="1" t="s">
        <v>24</v>
      </c>
      <c r="L9" s="1">
        <f>IF(Subscriptions[[#This Row],[churned]]="Yes",1,0)</f>
        <v>1</v>
      </c>
      <c r="M9" s="2">
        <v>45816</v>
      </c>
      <c r="N9" s="1" t="s">
        <v>25</v>
      </c>
      <c r="O9">
        <v>10</v>
      </c>
      <c r="P9">
        <v>2</v>
      </c>
      <c r="Q9">
        <v>28</v>
      </c>
      <c r="R9" s="1" t="s">
        <v>26</v>
      </c>
    </row>
    <row r="10" spans="1:18" x14ac:dyDescent="0.35">
      <c r="A10" s="1" t="s">
        <v>51</v>
      </c>
      <c r="B10" s="1" t="s">
        <v>32</v>
      </c>
      <c r="C10" s="1" t="s">
        <v>19</v>
      </c>
      <c r="D10" s="1" t="s">
        <v>52</v>
      </c>
      <c r="E10" s="1" t="s">
        <v>45</v>
      </c>
      <c r="F10">
        <v>3</v>
      </c>
      <c r="G10">
        <v>37.700000000000003</v>
      </c>
      <c r="H10" s="1" t="s">
        <v>35</v>
      </c>
      <c r="I10" s="1" t="s">
        <v>23</v>
      </c>
      <c r="J10" s="2">
        <v>44948</v>
      </c>
      <c r="K10" s="1" t="s">
        <v>24</v>
      </c>
      <c r="L10" s="1">
        <f>IF(Subscriptions[[#This Row],[churned]]="Yes",1,0)</f>
        <v>1</v>
      </c>
      <c r="M10" s="2">
        <v>45037</v>
      </c>
      <c r="N10" s="1" t="s">
        <v>53</v>
      </c>
      <c r="O10">
        <v>5</v>
      </c>
      <c r="P10">
        <v>6</v>
      </c>
      <c r="Q10">
        <v>15</v>
      </c>
      <c r="R10" s="1" t="s">
        <v>26</v>
      </c>
    </row>
    <row r="11" spans="1:18" x14ac:dyDescent="0.35">
      <c r="A11" s="1" t="s">
        <v>54</v>
      </c>
      <c r="B11" s="1" t="s">
        <v>37</v>
      </c>
      <c r="C11" s="1" t="s">
        <v>19</v>
      </c>
      <c r="D11" s="1" t="s">
        <v>55</v>
      </c>
      <c r="E11" s="1" t="s">
        <v>21</v>
      </c>
      <c r="F11">
        <v>80</v>
      </c>
      <c r="G11">
        <v>2557.15</v>
      </c>
      <c r="H11" s="1" t="s">
        <v>35</v>
      </c>
      <c r="I11" s="1" t="s">
        <v>23</v>
      </c>
      <c r="J11" s="2">
        <v>44739</v>
      </c>
      <c r="K11" s="1" t="s">
        <v>24</v>
      </c>
      <c r="L11" s="1">
        <f>IF(Subscriptions[[#This Row],[churned]]="Yes",1,0)</f>
        <v>1</v>
      </c>
      <c r="M11" s="2">
        <v>45261</v>
      </c>
      <c r="N11" s="1" t="s">
        <v>56</v>
      </c>
      <c r="O11">
        <v>3</v>
      </c>
      <c r="P11">
        <v>4</v>
      </c>
      <c r="Q11">
        <v>48</v>
      </c>
      <c r="R11" s="1" t="s">
        <v>26</v>
      </c>
    </row>
    <row r="12" spans="1:18" x14ac:dyDescent="0.35">
      <c r="A12" s="1" t="s">
        <v>57</v>
      </c>
      <c r="B12" s="1" t="s">
        <v>37</v>
      </c>
      <c r="C12" s="1" t="s">
        <v>28</v>
      </c>
      <c r="D12" s="1" t="s">
        <v>55</v>
      </c>
      <c r="E12" s="1" t="s">
        <v>48</v>
      </c>
      <c r="F12">
        <v>77</v>
      </c>
      <c r="G12">
        <v>2097.46</v>
      </c>
      <c r="H12" s="1" t="s">
        <v>22</v>
      </c>
      <c r="I12" s="1" t="s">
        <v>58</v>
      </c>
      <c r="J12" s="2">
        <v>44902</v>
      </c>
      <c r="K12" s="1" t="s">
        <v>24</v>
      </c>
      <c r="L12" s="1">
        <f>IF(Subscriptions[[#This Row],[churned]]="Yes",1,0)</f>
        <v>1</v>
      </c>
      <c r="M12" s="2">
        <v>45091</v>
      </c>
      <c r="N12" s="1" t="s">
        <v>59</v>
      </c>
      <c r="O12">
        <v>9</v>
      </c>
      <c r="P12">
        <v>1</v>
      </c>
      <c r="Q12">
        <v>37</v>
      </c>
      <c r="R12" s="1" t="s">
        <v>26</v>
      </c>
    </row>
    <row r="13" spans="1:18" x14ac:dyDescent="0.35">
      <c r="A13" s="1" t="s">
        <v>60</v>
      </c>
      <c r="B13" s="1" t="s">
        <v>37</v>
      </c>
      <c r="C13" s="1" t="s">
        <v>28</v>
      </c>
      <c r="D13" s="1" t="s">
        <v>44</v>
      </c>
      <c r="E13" s="1" t="s">
        <v>39</v>
      </c>
      <c r="F13">
        <v>30</v>
      </c>
      <c r="G13">
        <v>904.95</v>
      </c>
      <c r="H13" s="1" t="s">
        <v>46</v>
      </c>
      <c r="I13" s="1" t="s">
        <v>23</v>
      </c>
      <c r="J13" s="2">
        <v>45247</v>
      </c>
      <c r="K13" s="1" t="s">
        <v>26</v>
      </c>
      <c r="L13" s="1">
        <f>IF(Subscriptions[[#This Row],[churned]]="Yes",1,0)</f>
        <v>0</v>
      </c>
      <c r="M13" s="2"/>
      <c r="N13" s="1" t="s">
        <v>30</v>
      </c>
      <c r="O13">
        <v>4</v>
      </c>
      <c r="P13">
        <v>1</v>
      </c>
      <c r="Q13">
        <v>47</v>
      </c>
      <c r="R13" s="1" t="s">
        <v>24</v>
      </c>
    </row>
    <row r="14" spans="1:18" x14ac:dyDescent="0.35">
      <c r="A14" s="1" t="s">
        <v>61</v>
      </c>
      <c r="B14" s="1" t="s">
        <v>37</v>
      </c>
      <c r="C14" s="1" t="s">
        <v>19</v>
      </c>
      <c r="D14" s="1" t="s">
        <v>33</v>
      </c>
      <c r="E14" s="1" t="s">
        <v>45</v>
      </c>
      <c r="F14">
        <v>4</v>
      </c>
      <c r="G14">
        <v>288.55</v>
      </c>
      <c r="H14" s="1" t="s">
        <v>46</v>
      </c>
      <c r="I14" s="1" t="s">
        <v>40</v>
      </c>
      <c r="J14" s="2">
        <v>45475</v>
      </c>
      <c r="K14" s="1" t="s">
        <v>26</v>
      </c>
      <c r="L14" s="1">
        <f>IF(Subscriptions[[#This Row],[churned]]="Yes",1,0)</f>
        <v>0</v>
      </c>
      <c r="M14" s="2"/>
      <c r="N14" s="1" t="s">
        <v>30</v>
      </c>
      <c r="O14">
        <v>10</v>
      </c>
      <c r="P14">
        <v>9</v>
      </c>
      <c r="Q14">
        <v>84</v>
      </c>
      <c r="R14" s="1" t="s">
        <v>24</v>
      </c>
    </row>
    <row r="15" spans="1:18" x14ac:dyDescent="0.35">
      <c r="A15" s="1" t="s">
        <v>62</v>
      </c>
      <c r="B15" s="1" t="s">
        <v>32</v>
      </c>
      <c r="C15" s="1" t="s">
        <v>19</v>
      </c>
      <c r="D15" s="1" t="s">
        <v>20</v>
      </c>
      <c r="E15" s="1" t="s">
        <v>21</v>
      </c>
      <c r="F15">
        <v>56</v>
      </c>
      <c r="G15">
        <v>268.25</v>
      </c>
      <c r="H15" s="1" t="s">
        <v>63</v>
      </c>
      <c r="I15" s="1" t="s">
        <v>40</v>
      </c>
      <c r="J15" s="2">
        <v>44710</v>
      </c>
      <c r="K15" s="1" t="s">
        <v>24</v>
      </c>
      <c r="L15" s="1">
        <f>IF(Subscriptions[[#This Row],[churned]]="Yes",1,0)</f>
        <v>1</v>
      </c>
      <c r="M15" s="2">
        <v>44831</v>
      </c>
      <c r="N15" s="1" t="s">
        <v>49</v>
      </c>
      <c r="O15">
        <v>1</v>
      </c>
      <c r="P15">
        <v>2</v>
      </c>
      <c r="Q15">
        <v>21</v>
      </c>
      <c r="R15" s="1" t="s">
        <v>26</v>
      </c>
    </row>
    <row r="16" spans="1:18" x14ac:dyDescent="0.35">
      <c r="A16" s="1" t="s">
        <v>64</v>
      </c>
      <c r="B16" s="1" t="s">
        <v>32</v>
      </c>
      <c r="C16" s="1" t="s">
        <v>19</v>
      </c>
      <c r="D16" s="1" t="s">
        <v>65</v>
      </c>
      <c r="E16" s="1" t="s">
        <v>45</v>
      </c>
      <c r="F16">
        <v>6</v>
      </c>
      <c r="G16">
        <v>50.75</v>
      </c>
      <c r="H16" s="1" t="s">
        <v>46</v>
      </c>
      <c r="I16" s="1" t="s">
        <v>23</v>
      </c>
      <c r="J16" s="2">
        <v>45308</v>
      </c>
      <c r="K16" s="1" t="s">
        <v>24</v>
      </c>
      <c r="L16" s="1">
        <f>IF(Subscriptions[[#This Row],[churned]]="Yes",1,0)</f>
        <v>1</v>
      </c>
      <c r="M16" s="2">
        <v>45428</v>
      </c>
      <c r="N16" s="1" t="s">
        <v>66</v>
      </c>
      <c r="O16">
        <v>7</v>
      </c>
      <c r="P16">
        <v>3</v>
      </c>
      <c r="Q16">
        <v>25</v>
      </c>
      <c r="R16" s="1" t="s">
        <v>26</v>
      </c>
    </row>
    <row r="17" spans="1:18" x14ac:dyDescent="0.35">
      <c r="A17" s="1" t="s">
        <v>67</v>
      </c>
      <c r="B17" s="1" t="s">
        <v>32</v>
      </c>
      <c r="C17" s="1" t="s">
        <v>19</v>
      </c>
      <c r="D17" s="1" t="s">
        <v>42</v>
      </c>
      <c r="E17" s="1" t="s">
        <v>48</v>
      </c>
      <c r="F17">
        <v>52</v>
      </c>
      <c r="G17">
        <v>250.85</v>
      </c>
      <c r="H17" s="1" t="s">
        <v>22</v>
      </c>
      <c r="I17" s="1" t="s">
        <v>23</v>
      </c>
      <c r="J17" s="2">
        <v>44713</v>
      </c>
      <c r="K17" s="1" t="s">
        <v>24</v>
      </c>
      <c r="L17" s="1">
        <f>IF(Subscriptions[[#This Row],[churned]]="Yes",1,0)</f>
        <v>1</v>
      </c>
      <c r="M17" s="2">
        <v>44950</v>
      </c>
      <c r="N17" s="1" t="s">
        <v>56</v>
      </c>
      <c r="O17">
        <v>11</v>
      </c>
      <c r="P17">
        <v>4</v>
      </c>
      <c r="Q17">
        <v>34</v>
      </c>
      <c r="R17" s="1" t="s">
        <v>26</v>
      </c>
    </row>
    <row r="18" spans="1:18" x14ac:dyDescent="0.35">
      <c r="A18" s="1" t="s">
        <v>68</v>
      </c>
      <c r="B18" s="1" t="s">
        <v>37</v>
      </c>
      <c r="C18" s="1" t="s">
        <v>19</v>
      </c>
      <c r="D18" s="1" t="s">
        <v>65</v>
      </c>
      <c r="E18" s="1" t="s">
        <v>39</v>
      </c>
      <c r="F18">
        <v>34</v>
      </c>
      <c r="G18">
        <v>1184.05</v>
      </c>
      <c r="H18" s="1" t="s">
        <v>63</v>
      </c>
      <c r="I18" s="1" t="s">
        <v>23</v>
      </c>
      <c r="J18" s="2">
        <v>45649</v>
      </c>
      <c r="K18" s="1" t="s">
        <v>24</v>
      </c>
      <c r="L18" s="1">
        <f>IF(Subscriptions[[#This Row],[churned]]="Yes",1,0)</f>
        <v>1</v>
      </c>
      <c r="M18" s="2">
        <v>45657</v>
      </c>
      <c r="N18" s="1" t="s">
        <v>66</v>
      </c>
      <c r="O18">
        <v>3</v>
      </c>
      <c r="P18">
        <v>3</v>
      </c>
      <c r="Q18">
        <v>49</v>
      </c>
      <c r="R18" s="1" t="s">
        <v>26</v>
      </c>
    </row>
    <row r="19" spans="1:18" x14ac:dyDescent="0.35">
      <c r="A19" s="1" t="s">
        <v>69</v>
      </c>
      <c r="B19" s="1" t="s">
        <v>32</v>
      </c>
      <c r="C19" s="1" t="s">
        <v>19</v>
      </c>
      <c r="D19" s="1" t="s">
        <v>52</v>
      </c>
      <c r="E19" s="1" t="s">
        <v>21</v>
      </c>
      <c r="F19">
        <v>64</v>
      </c>
      <c r="G19">
        <v>303.05</v>
      </c>
      <c r="H19" s="1" t="s">
        <v>46</v>
      </c>
      <c r="I19" s="1" t="s">
        <v>40</v>
      </c>
      <c r="J19" s="2">
        <v>45098</v>
      </c>
      <c r="K19" s="1" t="s">
        <v>24</v>
      </c>
      <c r="L19" s="1">
        <f>IF(Subscriptions[[#This Row],[churned]]="Yes",1,0)</f>
        <v>1</v>
      </c>
      <c r="M19" s="2">
        <v>45143</v>
      </c>
      <c r="N19" s="1" t="s">
        <v>59</v>
      </c>
      <c r="O19">
        <v>14</v>
      </c>
      <c r="P19">
        <v>3</v>
      </c>
      <c r="Q19">
        <v>25</v>
      </c>
      <c r="R19" s="1" t="s">
        <v>26</v>
      </c>
    </row>
    <row r="20" spans="1:18" x14ac:dyDescent="0.35">
      <c r="A20" s="1" t="s">
        <v>70</v>
      </c>
      <c r="B20" s="1" t="s">
        <v>18</v>
      </c>
      <c r="C20" s="1" t="s">
        <v>28</v>
      </c>
      <c r="D20" s="1" t="s">
        <v>71</v>
      </c>
      <c r="E20" s="1" t="s">
        <v>34</v>
      </c>
      <c r="F20">
        <v>67</v>
      </c>
      <c r="G20">
        <v>731.93</v>
      </c>
      <c r="H20" s="1" t="s">
        <v>35</v>
      </c>
      <c r="I20" s="1" t="s">
        <v>72</v>
      </c>
      <c r="J20" s="2">
        <v>45377</v>
      </c>
      <c r="K20" s="1" t="s">
        <v>24</v>
      </c>
      <c r="L20" s="1">
        <f>IF(Subscriptions[[#This Row],[churned]]="Yes",1,0)</f>
        <v>1</v>
      </c>
      <c r="M20" s="2">
        <v>45770</v>
      </c>
      <c r="N20" s="1" t="s">
        <v>59</v>
      </c>
      <c r="O20">
        <v>10</v>
      </c>
      <c r="P20">
        <v>2</v>
      </c>
      <c r="Q20">
        <v>10</v>
      </c>
      <c r="R20" s="1" t="s">
        <v>26</v>
      </c>
    </row>
    <row r="21" spans="1:18" x14ac:dyDescent="0.35">
      <c r="A21" s="1" t="s">
        <v>73</v>
      </c>
      <c r="B21" s="1" t="s">
        <v>74</v>
      </c>
      <c r="C21" s="1" t="s">
        <v>28</v>
      </c>
      <c r="D21" s="1" t="s">
        <v>65</v>
      </c>
      <c r="E21" s="1" t="s">
        <v>45</v>
      </c>
      <c r="F21">
        <v>7</v>
      </c>
      <c r="G21">
        <v>805.88</v>
      </c>
      <c r="H21" s="1" t="s">
        <v>22</v>
      </c>
      <c r="I21" s="1" t="s">
        <v>58</v>
      </c>
      <c r="J21" s="2">
        <v>45149</v>
      </c>
      <c r="K21" s="1" t="s">
        <v>26</v>
      </c>
      <c r="L21" s="1">
        <f>IF(Subscriptions[[#This Row],[churned]]="Yes",1,0)</f>
        <v>0</v>
      </c>
      <c r="M21" s="2"/>
      <c r="N21" s="1" t="s">
        <v>30</v>
      </c>
      <c r="O21">
        <v>8</v>
      </c>
      <c r="P21">
        <v>4</v>
      </c>
      <c r="Q21">
        <v>93</v>
      </c>
      <c r="R21" s="1" t="s">
        <v>26</v>
      </c>
    </row>
    <row r="22" spans="1:18" x14ac:dyDescent="0.35">
      <c r="A22" s="1" t="s">
        <v>75</v>
      </c>
      <c r="B22" s="1" t="s">
        <v>18</v>
      </c>
      <c r="C22" s="1" t="s">
        <v>28</v>
      </c>
      <c r="D22" s="1" t="s">
        <v>20</v>
      </c>
      <c r="E22" s="1" t="s">
        <v>21</v>
      </c>
      <c r="F22">
        <v>66</v>
      </c>
      <c r="G22">
        <v>721.86</v>
      </c>
      <c r="H22" s="1" t="s">
        <v>35</v>
      </c>
      <c r="I22" s="1" t="s">
        <v>40</v>
      </c>
      <c r="J22" s="2">
        <v>45253</v>
      </c>
      <c r="K22" s="1" t="s">
        <v>24</v>
      </c>
      <c r="L22" s="1">
        <f>IF(Subscriptions[[#This Row],[churned]]="Yes",1,0)</f>
        <v>1</v>
      </c>
      <c r="M22" s="2">
        <v>45430</v>
      </c>
      <c r="N22" s="1" t="s">
        <v>25</v>
      </c>
      <c r="O22">
        <v>7</v>
      </c>
      <c r="P22">
        <v>2</v>
      </c>
      <c r="Q22">
        <v>19</v>
      </c>
      <c r="R22" s="1" t="s">
        <v>26</v>
      </c>
    </row>
    <row r="23" spans="1:18" x14ac:dyDescent="0.35">
      <c r="A23" s="1" t="s">
        <v>76</v>
      </c>
      <c r="B23" s="1" t="s">
        <v>37</v>
      </c>
      <c r="C23" s="1" t="s">
        <v>28</v>
      </c>
      <c r="D23" s="1" t="s">
        <v>65</v>
      </c>
      <c r="E23" s="1" t="s">
        <v>45</v>
      </c>
      <c r="F23">
        <v>6</v>
      </c>
      <c r="G23">
        <v>296.01</v>
      </c>
      <c r="H23" s="1" t="s">
        <v>46</v>
      </c>
      <c r="I23" s="1" t="s">
        <v>40</v>
      </c>
      <c r="J23" s="2">
        <v>44744</v>
      </c>
      <c r="K23" s="1" t="s">
        <v>26</v>
      </c>
      <c r="L23" s="1">
        <f>IF(Subscriptions[[#This Row],[churned]]="Yes",1,0)</f>
        <v>0</v>
      </c>
      <c r="M23" s="2"/>
      <c r="N23" s="1" t="s">
        <v>30</v>
      </c>
      <c r="O23">
        <v>5</v>
      </c>
      <c r="P23">
        <v>7</v>
      </c>
      <c r="Q23">
        <v>40</v>
      </c>
      <c r="R23" s="1" t="s">
        <v>26</v>
      </c>
    </row>
    <row r="24" spans="1:18" x14ac:dyDescent="0.35">
      <c r="A24" s="1" t="s">
        <v>77</v>
      </c>
      <c r="B24" s="1" t="s">
        <v>32</v>
      </c>
      <c r="C24" s="1" t="s">
        <v>19</v>
      </c>
      <c r="D24" s="1" t="s">
        <v>55</v>
      </c>
      <c r="E24" s="1" t="s">
        <v>39</v>
      </c>
      <c r="F24">
        <v>25</v>
      </c>
      <c r="G24">
        <v>133.4</v>
      </c>
      <c r="H24" s="1" t="s">
        <v>63</v>
      </c>
      <c r="I24" s="1" t="s">
        <v>40</v>
      </c>
      <c r="J24" s="2">
        <v>45339</v>
      </c>
      <c r="K24" s="1" t="s">
        <v>24</v>
      </c>
      <c r="L24" s="1">
        <f>IF(Subscriptions[[#This Row],[churned]]="Yes",1,0)</f>
        <v>1</v>
      </c>
      <c r="M24" s="2">
        <v>45405</v>
      </c>
      <c r="N24" s="1" t="s">
        <v>59</v>
      </c>
      <c r="O24">
        <v>11</v>
      </c>
      <c r="P24">
        <v>1</v>
      </c>
      <c r="Q24">
        <v>16</v>
      </c>
      <c r="R24" s="1" t="s">
        <v>26</v>
      </c>
    </row>
    <row r="25" spans="1:18" x14ac:dyDescent="0.35">
      <c r="A25" s="1" t="s">
        <v>78</v>
      </c>
      <c r="B25" s="1" t="s">
        <v>74</v>
      </c>
      <c r="C25" s="1" t="s">
        <v>28</v>
      </c>
      <c r="D25" s="1" t="s">
        <v>42</v>
      </c>
      <c r="E25" s="1" t="s">
        <v>39</v>
      </c>
      <c r="F25">
        <v>14</v>
      </c>
      <c r="G25">
        <v>1251.24</v>
      </c>
      <c r="H25" s="1" t="s">
        <v>46</v>
      </c>
      <c r="I25" s="1" t="s">
        <v>40</v>
      </c>
      <c r="J25" s="2">
        <v>45799</v>
      </c>
      <c r="K25" s="1" t="s">
        <v>26</v>
      </c>
      <c r="L25" s="1">
        <f>IF(Subscriptions[[#This Row],[churned]]="Yes",1,0)</f>
        <v>0</v>
      </c>
      <c r="M25" s="2"/>
      <c r="N25" s="1" t="s">
        <v>30</v>
      </c>
      <c r="O25">
        <v>11</v>
      </c>
      <c r="P25">
        <v>1</v>
      </c>
      <c r="Q25">
        <v>85</v>
      </c>
      <c r="R25" s="1" t="s">
        <v>26</v>
      </c>
    </row>
    <row r="26" spans="1:18" x14ac:dyDescent="0.35">
      <c r="A26" s="1" t="s">
        <v>79</v>
      </c>
      <c r="B26" s="1" t="s">
        <v>32</v>
      </c>
      <c r="C26" s="1" t="s">
        <v>28</v>
      </c>
      <c r="D26" s="1" t="s">
        <v>20</v>
      </c>
      <c r="E26" s="1" t="s">
        <v>39</v>
      </c>
      <c r="F26">
        <v>7</v>
      </c>
      <c r="G26">
        <v>46.83</v>
      </c>
      <c r="H26" s="1" t="s">
        <v>46</v>
      </c>
      <c r="I26" s="1" t="s">
        <v>23</v>
      </c>
      <c r="J26" s="2">
        <v>45451</v>
      </c>
      <c r="K26" s="1" t="s">
        <v>26</v>
      </c>
      <c r="L26" s="1">
        <f>IF(Subscriptions[[#This Row],[churned]]="Yes",1,0)</f>
        <v>0</v>
      </c>
      <c r="M26" s="2"/>
      <c r="N26" s="1" t="s">
        <v>30</v>
      </c>
      <c r="O26">
        <v>1</v>
      </c>
      <c r="P26">
        <v>1</v>
      </c>
      <c r="Q26">
        <v>42</v>
      </c>
      <c r="R26" s="1" t="s">
        <v>26</v>
      </c>
    </row>
    <row r="27" spans="1:18" x14ac:dyDescent="0.35">
      <c r="A27" s="1" t="s">
        <v>80</v>
      </c>
      <c r="B27" s="1" t="s">
        <v>74</v>
      </c>
      <c r="C27" s="1" t="s">
        <v>28</v>
      </c>
      <c r="D27" s="1" t="s">
        <v>52</v>
      </c>
      <c r="E27" s="1" t="s">
        <v>45</v>
      </c>
      <c r="F27">
        <v>4</v>
      </c>
      <c r="G27">
        <v>615.02</v>
      </c>
      <c r="H27" s="1" t="s">
        <v>46</v>
      </c>
      <c r="I27" s="1" t="s">
        <v>40</v>
      </c>
      <c r="J27" s="2">
        <v>45863</v>
      </c>
      <c r="K27" s="1" t="s">
        <v>26</v>
      </c>
      <c r="L27" s="1">
        <f>IF(Subscriptions[[#This Row],[churned]]="Yes",1,0)</f>
        <v>0</v>
      </c>
      <c r="M27" s="2"/>
      <c r="N27" s="1" t="s">
        <v>30</v>
      </c>
      <c r="O27">
        <v>2</v>
      </c>
      <c r="P27">
        <v>9</v>
      </c>
      <c r="Q27">
        <v>73</v>
      </c>
      <c r="R27" s="1" t="s">
        <v>26</v>
      </c>
    </row>
    <row r="28" spans="1:18" x14ac:dyDescent="0.35">
      <c r="A28" s="1" t="s">
        <v>81</v>
      </c>
      <c r="B28" s="1" t="s">
        <v>32</v>
      </c>
      <c r="C28" s="1" t="s">
        <v>19</v>
      </c>
      <c r="D28" s="1" t="s">
        <v>82</v>
      </c>
      <c r="E28" s="1" t="s">
        <v>45</v>
      </c>
      <c r="F28">
        <v>1</v>
      </c>
      <c r="G28">
        <v>29</v>
      </c>
      <c r="H28" s="1" t="s">
        <v>35</v>
      </c>
      <c r="I28" s="1" t="s">
        <v>58</v>
      </c>
      <c r="J28" s="2">
        <v>45179</v>
      </c>
      <c r="K28" s="1" t="s">
        <v>24</v>
      </c>
      <c r="L28" s="1">
        <f>IF(Subscriptions[[#This Row],[churned]]="Yes",1,0)</f>
        <v>1</v>
      </c>
      <c r="M28" s="2">
        <v>45771</v>
      </c>
      <c r="N28" s="1" t="s">
        <v>49</v>
      </c>
      <c r="O28">
        <v>8</v>
      </c>
      <c r="P28">
        <v>3</v>
      </c>
      <c r="Q28">
        <v>10</v>
      </c>
      <c r="R28" s="1" t="s">
        <v>26</v>
      </c>
    </row>
    <row r="29" spans="1:18" x14ac:dyDescent="0.35">
      <c r="A29" s="1" t="s">
        <v>83</v>
      </c>
      <c r="B29" s="1" t="s">
        <v>18</v>
      </c>
      <c r="C29" s="1" t="s">
        <v>28</v>
      </c>
      <c r="D29" s="1" t="s">
        <v>44</v>
      </c>
      <c r="E29" s="1" t="s">
        <v>21</v>
      </c>
      <c r="F29">
        <v>35</v>
      </c>
      <c r="G29">
        <v>409.62</v>
      </c>
      <c r="H29" s="1" t="s">
        <v>22</v>
      </c>
      <c r="I29" s="1" t="s">
        <v>72</v>
      </c>
      <c r="J29" s="2">
        <v>46020</v>
      </c>
      <c r="K29" s="1" t="s">
        <v>26</v>
      </c>
      <c r="L29" s="1">
        <f>IF(Subscriptions[[#This Row],[churned]]="Yes",1,0)</f>
        <v>0</v>
      </c>
      <c r="M29" s="2"/>
      <c r="N29" s="1" t="s">
        <v>30</v>
      </c>
      <c r="O29">
        <v>8</v>
      </c>
      <c r="P29">
        <v>4</v>
      </c>
      <c r="Q29">
        <v>53</v>
      </c>
      <c r="R29" s="1" t="s">
        <v>26</v>
      </c>
    </row>
    <row r="30" spans="1:18" x14ac:dyDescent="0.35">
      <c r="A30" s="1" t="s">
        <v>84</v>
      </c>
      <c r="B30" s="1" t="s">
        <v>32</v>
      </c>
      <c r="C30" s="1" t="s">
        <v>19</v>
      </c>
      <c r="D30" s="1" t="s">
        <v>38</v>
      </c>
      <c r="E30" s="1" t="s">
        <v>39</v>
      </c>
      <c r="F30">
        <v>22</v>
      </c>
      <c r="G30">
        <v>120.35</v>
      </c>
      <c r="H30" s="1" t="s">
        <v>22</v>
      </c>
      <c r="I30" s="1" t="s">
        <v>23</v>
      </c>
      <c r="J30" s="2">
        <v>44901</v>
      </c>
      <c r="K30" s="1" t="s">
        <v>24</v>
      </c>
      <c r="L30" s="1">
        <f>IF(Subscriptions[[#This Row],[churned]]="Yes",1,0)</f>
        <v>1</v>
      </c>
      <c r="M30" s="2">
        <v>45153</v>
      </c>
      <c r="N30" s="1" t="s">
        <v>85</v>
      </c>
      <c r="O30">
        <v>4</v>
      </c>
      <c r="P30">
        <v>2</v>
      </c>
      <c r="Q30">
        <v>17</v>
      </c>
      <c r="R30" s="1" t="s">
        <v>26</v>
      </c>
    </row>
    <row r="31" spans="1:18" x14ac:dyDescent="0.35">
      <c r="A31" s="1" t="s">
        <v>86</v>
      </c>
      <c r="B31" s="1" t="s">
        <v>37</v>
      </c>
      <c r="C31" s="1" t="s">
        <v>28</v>
      </c>
      <c r="D31" s="1" t="s">
        <v>38</v>
      </c>
      <c r="E31" s="1" t="s">
        <v>34</v>
      </c>
      <c r="F31">
        <v>230</v>
      </c>
      <c r="G31">
        <v>5979.45</v>
      </c>
      <c r="H31" s="1" t="s">
        <v>35</v>
      </c>
      <c r="I31" s="1" t="s">
        <v>40</v>
      </c>
      <c r="J31" s="2">
        <v>45234</v>
      </c>
      <c r="K31" s="1" t="s">
        <v>26</v>
      </c>
      <c r="L31" s="1">
        <f>IF(Subscriptions[[#This Row],[churned]]="Yes",1,0)</f>
        <v>0</v>
      </c>
      <c r="M31" s="2"/>
      <c r="N31" s="1" t="s">
        <v>30</v>
      </c>
      <c r="O31">
        <v>9</v>
      </c>
      <c r="P31">
        <v>3</v>
      </c>
      <c r="Q31">
        <v>76</v>
      </c>
      <c r="R31" s="1" t="s">
        <v>26</v>
      </c>
    </row>
    <row r="32" spans="1:18" x14ac:dyDescent="0.35">
      <c r="A32" s="1" t="s">
        <v>87</v>
      </c>
      <c r="B32" s="1" t="s">
        <v>37</v>
      </c>
      <c r="C32" s="1" t="s">
        <v>28</v>
      </c>
      <c r="D32" s="1" t="s">
        <v>33</v>
      </c>
      <c r="E32" s="1" t="s">
        <v>34</v>
      </c>
      <c r="F32">
        <v>174</v>
      </c>
      <c r="G32">
        <v>4558.59</v>
      </c>
      <c r="H32" s="1" t="s">
        <v>29</v>
      </c>
      <c r="I32" s="1" t="s">
        <v>40</v>
      </c>
      <c r="J32" s="2">
        <v>45493</v>
      </c>
      <c r="K32" s="1" t="s">
        <v>26</v>
      </c>
      <c r="L32" s="1">
        <f>IF(Subscriptions[[#This Row],[churned]]="Yes",1,0)</f>
        <v>0</v>
      </c>
      <c r="M32" s="2"/>
      <c r="N32" s="1" t="s">
        <v>30</v>
      </c>
      <c r="O32">
        <v>8</v>
      </c>
      <c r="P32">
        <v>7</v>
      </c>
      <c r="Q32">
        <v>84</v>
      </c>
      <c r="R32" s="1" t="s">
        <v>26</v>
      </c>
    </row>
    <row r="33" spans="1:18" x14ac:dyDescent="0.35">
      <c r="A33" s="1" t="s">
        <v>88</v>
      </c>
      <c r="B33" s="1" t="s">
        <v>74</v>
      </c>
      <c r="C33" s="1" t="s">
        <v>28</v>
      </c>
      <c r="D33" s="1" t="s">
        <v>44</v>
      </c>
      <c r="E33" s="1" t="s">
        <v>45</v>
      </c>
      <c r="F33">
        <v>5</v>
      </c>
      <c r="G33">
        <v>678.64</v>
      </c>
      <c r="H33" s="1" t="s">
        <v>46</v>
      </c>
      <c r="I33" s="1" t="s">
        <v>23</v>
      </c>
      <c r="J33" s="2">
        <v>45013</v>
      </c>
      <c r="K33" s="1" t="s">
        <v>26</v>
      </c>
      <c r="L33" s="1">
        <f>IF(Subscriptions[[#This Row],[churned]]="Yes",1,0)</f>
        <v>0</v>
      </c>
      <c r="M33" s="2"/>
      <c r="N33" s="1" t="s">
        <v>30</v>
      </c>
      <c r="O33">
        <v>7</v>
      </c>
      <c r="P33">
        <v>8</v>
      </c>
      <c r="Q33">
        <v>16</v>
      </c>
      <c r="R33" s="1" t="s">
        <v>26</v>
      </c>
    </row>
    <row r="34" spans="1:18" x14ac:dyDescent="0.35">
      <c r="A34" s="1" t="s">
        <v>89</v>
      </c>
      <c r="B34" s="1" t="s">
        <v>32</v>
      </c>
      <c r="C34" s="1" t="s">
        <v>28</v>
      </c>
      <c r="D34" s="1" t="s">
        <v>82</v>
      </c>
      <c r="E34" s="1" t="s">
        <v>45</v>
      </c>
      <c r="F34">
        <v>6</v>
      </c>
      <c r="G34">
        <v>43.14</v>
      </c>
      <c r="H34" s="1" t="s">
        <v>22</v>
      </c>
      <c r="I34" s="1" t="s">
        <v>72</v>
      </c>
      <c r="J34" s="2">
        <v>45431</v>
      </c>
      <c r="K34" s="1" t="s">
        <v>24</v>
      </c>
      <c r="L34" s="1">
        <f>IF(Subscriptions[[#This Row],[churned]]="Yes",1,0)</f>
        <v>1</v>
      </c>
      <c r="M34" s="2">
        <v>45502</v>
      </c>
      <c r="N34" s="1" t="s">
        <v>66</v>
      </c>
      <c r="O34">
        <v>11</v>
      </c>
      <c r="P34">
        <v>3</v>
      </c>
      <c r="Q34">
        <v>30</v>
      </c>
      <c r="R34" s="1" t="s">
        <v>26</v>
      </c>
    </row>
    <row r="35" spans="1:18" x14ac:dyDescent="0.35">
      <c r="A35" s="1" t="s">
        <v>90</v>
      </c>
      <c r="B35" s="1" t="s">
        <v>74</v>
      </c>
      <c r="C35" s="1" t="s">
        <v>28</v>
      </c>
      <c r="D35" s="1" t="s">
        <v>65</v>
      </c>
      <c r="E35" s="1" t="s">
        <v>39</v>
      </c>
      <c r="F35">
        <v>35</v>
      </c>
      <c r="G35">
        <v>2587.3200000000002</v>
      </c>
      <c r="H35" s="1" t="s">
        <v>46</v>
      </c>
      <c r="I35" s="1" t="s">
        <v>23</v>
      </c>
      <c r="J35" s="2">
        <v>45194</v>
      </c>
      <c r="K35" s="1" t="s">
        <v>26</v>
      </c>
      <c r="L35" s="1">
        <f>IF(Subscriptions[[#This Row],[churned]]="Yes",1,0)</f>
        <v>0</v>
      </c>
      <c r="M35" s="2"/>
      <c r="N35" s="1" t="s">
        <v>30</v>
      </c>
      <c r="O35">
        <v>5</v>
      </c>
      <c r="P35">
        <v>8</v>
      </c>
      <c r="Q35">
        <v>33</v>
      </c>
      <c r="R35" s="1" t="s">
        <v>24</v>
      </c>
    </row>
    <row r="36" spans="1:18" x14ac:dyDescent="0.35">
      <c r="A36" s="1" t="s">
        <v>91</v>
      </c>
      <c r="B36" s="1" t="s">
        <v>32</v>
      </c>
      <c r="C36" s="1" t="s">
        <v>19</v>
      </c>
      <c r="D36" s="1" t="s">
        <v>42</v>
      </c>
      <c r="E36" s="1" t="s">
        <v>21</v>
      </c>
      <c r="F36">
        <v>70</v>
      </c>
      <c r="G36">
        <v>329.15</v>
      </c>
      <c r="H36" s="1" t="s">
        <v>22</v>
      </c>
      <c r="I36" s="1" t="s">
        <v>72</v>
      </c>
      <c r="J36" s="2">
        <v>44689</v>
      </c>
      <c r="K36" s="1" t="s">
        <v>24</v>
      </c>
      <c r="L36" s="1">
        <f>IF(Subscriptions[[#This Row],[churned]]="Yes",1,0)</f>
        <v>1</v>
      </c>
      <c r="M36" s="2">
        <v>44766</v>
      </c>
      <c r="N36" s="1" t="s">
        <v>53</v>
      </c>
      <c r="O36">
        <v>0</v>
      </c>
      <c r="P36">
        <v>6</v>
      </c>
      <c r="Q36">
        <v>30</v>
      </c>
      <c r="R36" s="1" t="s">
        <v>26</v>
      </c>
    </row>
    <row r="37" spans="1:18" x14ac:dyDescent="0.35">
      <c r="A37" s="1" t="s">
        <v>92</v>
      </c>
      <c r="B37" s="1" t="s">
        <v>18</v>
      </c>
      <c r="C37" s="1" t="s">
        <v>19</v>
      </c>
      <c r="D37" s="1" t="s">
        <v>42</v>
      </c>
      <c r="E37" s="1" t="s">
        <v>45</v>
      </c>
      <c r="F37">
        <v>7</v>
      </c>
      <c r="G37">
        <v>150.1</v>
      </c>
      <c r="H37" s="1" t="s">
        <v>46</v>
      </c>
      <c r="I37" s="1" t="s">
        <v>72</v>
      </c>
      <c r="J37" s="2">
        <v>45038</v>
      </c>
      <c r="K37" s="1" t="s">
        <v>24</v>
      </c>
      <c r="L37" s="1">
        <f>IF(Subscriptions[[#This Row],[churned]]="Yes",1,0)</f>
        <v>1</v>
      </c>
      <c r="M37" s="2">
        <v>45284</v>
      </c>
      <c r="N37" s="1" t="s">
        <v>59</v>
      </c>
      <c r="O37">
        <v>10</v>
      </c>
      <c r="P37">
        <v>6</v>
      </c>
      <c r="Q37">
        <v>16</v>
      </c>
      <c r="R37" s="1" t="s">
        <v>26</v>
      </c>
    </row>
    <row r="38" spans="1:18" x14ac:dyDescent="0.35">
      <c r="A38" s="1" t="s">
        <v>93</v>
      </c>
      <c r="B38" s="1" t="s">
        <v>18</v>
      </c>
      <c r="C38" s="1" t="s">
        <v>19</v>
      </c>
      <c r="D38" s="1" t="s">
        <v>44</v>
      </c>
      <c r="E38" s="1" t="s">
        <v>45</v>
      </c>
      <c r="F38">
        <v>2</v>
      </c>
      <c r="G38">
        <v>90.85</v>
      </c>
      <c r="H38" s="1" t="s">
        <v>29</v>
      </c>
      <c r="I38" s="1" t="s">
        <v>23</v>
      </c>
      <c r="J38" s="2">
        <v>45457</v>
      </c>
      <c r="K38" s="1" t="s">
        <v>24</v>
      </c>
      <c r="L38" s="1">
        <f>IF(Subscriptions[[#This Row],[churned]]="Yes",1,0)</f>
        <v>1</v>
      </c>
      <c r="M38" s="2">
        <v>45604</v>
      </c>
      <c r="N38" s="1" t="s">
        <v>66</v>
      </c>
      <c r="O38">
        <v>11</v>
      </c>
      <c r="P38">
        <v>2</v>
      </c>
      <c r="Q38">
        <v>34</v>
      </c>
      <c r="R38" s="1" t="s">
        <v>26</v>
      </c>
    </row>
    <row r="39" spans="1:18" x14ac:dyDescent="0.35">
      <c r="A39" s="1" t="s">
        <v>94</v>
      </c>
      <c r="B39" s="1" t="s">
        <v>18</v>
      </c>
      <c r="C39" s="1" t="s">
        <v>19</v>
      </c>
      <c r="D39" s="1" t="s">
        <v>38</v>
      </c>
      <c r="E39" s="1" t="s">
        <v>45</v>
      </c>
      <c r="F39">
        <v>5</v>
      </c>
      <c r="G39">
        <v>126.4</v>
      </c>
      <c r="H39" s="1" t="s">
        <v>22</v>
      </c>
      <c r="I39" s="1" t="s">
        <v>40</v>
      </c>
      <c r="J39" s="2">
        <v>44718</v>
      </c>
      <c r="K39" s="1" t="s">
        <v>24</v>
      </c>
      <c r="L39" s="1">
        <f>IF(Subscriptions[[#This Row],[churned]]="Yes",1,0)</f>
        <v>1</v>
      </c>
      <c r="M39" s="2">
        <v>44784</v>
      </c>
      <c r="N39" s="1" t="s">
        <v>56</v>
      </c>
      <c r="O39">
        <v>6</v>
      </c>
      <c r="P39">
        <v>1</v>
      </c>
      <c r="Q39">
        <v>30</v>
      </c>
      <c r="R39" s="1" t="s">
        <v>26</v>
      </c>
    </row>
    <row r="40" spans="1:18" x14ac:dyDescent="0.35">
      <c r="A40" s="1" t="s">
        <v>95</v>
      </c>
      <c r="B40" s="1" t="s">
        <v>37</v>
      </c>
      <c r="C40" s="1" t="s">
        <v>28</v>
      </c>
      <c r="D40" s="1" t="s">
        <v>20</v>
      </c>
      <c r="E40" s="1" t="s">
        <v>21</v>
      </c>
      <c r="F40">
        <v>30</v>
      </c>
      <c r="G40">
        <v>904.95</v>
      </c>
      <c r="H40" s="1" t="s">
        <v>22</v>
      </c>
      <c r="I40" s="1" t="s">
        <v>58</v>
      </c>
      <c r="J40" s="2">
        <v>45414</v>
      </c>
      <c r="K40" s="1" t="s">
        <v>26</v>
      </c>
      <c r="L40" s="1">
        <f>IF(Subscriptions[[#This Row],[churned]]="Yes",1,0)</f>
        <v>0</v>
      </c>
      <c r="M40" s="2"/>
      <c r="N40" s="1" t="s">
        <v>30</v>
      </c>
      <c r="O40">
        <v>4</v>
      </c>
      <c r="P40">
        <v>9</v>
      </c>
      <c r="Q40">
        <v>71</v>
      </c>
      <c r="R40" s="1" t="s">
        <v>24</v>
      </c>
    </row>
    <row r="41" spans="1:18" x14ac:dyDescent="0.35">
      <c r="A41" s="1" t="s">
        <v>96</v>
      </c>
      <c r="B41" s="1" t="s">
        <v>37</v>
      </c>
      <c r="C41" s="1" t="s">
        <v>28</v>
      </c>
      <c r="D41" s="1" t="s">
        <v>52</v>
      </c>
      <c r="E41" s="1" t="s">
        <v>39</v>
      </c>
      <c r="F41">
        <v>24</v>
      </c>
      <c r="G41">
        <v>752.72</v>
      </c>
      <c r="H41" s="1" t="s">
        <v>29</v>
      </c>
      <c r="I41" s="1" t="s">
        <v>58</v>
      </c>
      <c r="J41" s="2">
        <v>45063</v>
      </c>
      <c r="K41" s="1" t="s">
        <v>26</v>
      </c>
      <c r="L41" s="1">
        <f>IF(Subscriptions[[#This Row],[churned]]="Yes",1,0)</f>
        <v>0</v>
      </c>
      <c r="M41" s="2"/>
      <c r="N41" s="1" t="s">
        <v>30</v>
      </c>
      <c r="O41">
        <v>9</v>
      </c>
      <c r="P41">
        <v>2</v>
      </c>
      <c r="Q41">
        <v>76</v>
      </c>
      <c r="R41" s="1" t="s">
        <v>26</v>
      </c>
    </row>
    <row r="42" spans="1:18" x14ac:dyDescent="0.35">
      <c r="A42" s="1" t="s">
        <v>97</v>
      </c>
      <c r="B42" s="1" t="s">
        <v>32</v>
      </c>
      <c r="C42" s="1" t="s">
        <v>19</v>
      </c>
      <c r="D42" s="1" t="s">
        <v>65</v>
      </c>
      <c r="E42" s="1" t="s">
        <v>21</v>
      </c>
      <c r="F42">
        <v>53</v>
      </c>
      <c r="G42">
        <v>255.2</v>
      </c>
      <c r="H42" s="1" t="s">
        <v>46</v>
      </c>
      <c r="I42" s="1" t="s">
        <v>58</v>
      </c>
      <c r="J42" s="2">
        <v>44916</v>
      </c>
      <c r="K42" s="1" t="s">
        <v>24</v>
      </c>
      <c r="L42" s="1">
        <f>IF(Subscriptions[[#This Row],[churned]]="Yes",1,0)</f>
        <v>1</v>
      </c>
      <c r="M42" s="2">
        <v>45065</v>
      </c>
      <c r="N42" s="1" t="s">
        <v>49</v>
      </c>
      <c r="O42">
        <v>4</v>
      </c>
      <c r="P42">
        <v>5</v>
      </c>
      <c r="Q42">
        <v>45</v>
      </c>
      <c r="R42" s="1" t="s">
        <v>26</v>
      </c>
    </row>
    <row r="43" spans="1:18" x14ac:dyDescent="0.35">
      <c r="A43" s="1" t="s">
        <v>98</v>
      </c>
      <c r="B43" s="1" t="s">
        <v>32</v>
      </c>
      <c r="C43" s="1" t="s">
        <v>19</v>
      </c>
      <c r="D43" s="1" t="s">
        <v>38</v>
      </c>
      <c r="E43" s="1" t="s">
        <v>21</v>
      </c>
      <c r="F43">
        <v>34</v>
      </c>
      <c r="G43">
        <v>172.55</v>
      </c>
      <c r="H43" s="1" t="s">
        <v>35</v>
      </c>
      <c r="I43" s="1" t="s">
        <v>40</v>
      </c>
      <c r="J43" s="2">
        <v>45661</v>
      </c>
      <c r="K43" s="1" t="s">
        <v>26</v>
      </c>
      <c r="L43" s="1">
        <f>IF(Subscriptions[[#This Row],[churned]]="Yes",1,0)</f>
        <v>0</v>
      </c>
      <c r="M43" s="2"/>
      <c r="N43" s="1" t="s">
        <v>30</v>
      </c>
      <c r="O43">
        <v>9</v>
      </c>
      <c r="P43">
        <v>2</v>
      </c>
      <c r="Q43">
        <v>73</v>
      </c>
      <c r="R43" s="1" t="s">
        <v>26</v>
      </c>
    </row>
    <row r="44" spans="1:18" x14ac:dyDescent="0.35">
      <c r="A44" s="1" t="s">
        <v>99</v>
      </c>
      <c r="B44" s="1" t="s">
        <v>18</v>
      </c>
      <c r="C44" s="1" t="s">
        <v>28</v>
      </c>
      <c r="D44" s="1" t="s">
        <v>42</v>
      </c>
      <c r="E44" s="1" t="s">
        <v>45</v>
      </c>
      <c r="F44">
        <v>2</v>
      </c>
      <c r="G44">
        <v>77.22</v>
      </c>
      <c r="H44" s="1" t="s">
        <v>63</v>
      </c>
      <c r="I44" s="1" t="s">
        <v>40</v>
      </c>
      <c r="J44" s="2">
        <v>44612</v>
      </c>
      <c r="K44" s="1" t="s">
        <v>26</v>
      </c>
      <c r="L44" s="1">
        <f>IF(Subscriptions[[#This Row],[churned]]="Yes",1,0)</f>
        <v>0</v>
      </c>
      <c r="M44" s="2"/>
      <c r="N44" s="1" t="s">
        <v>30</v>
      </c>
      <c r="O44">
        <v>9</v>
      </c>
      <c r="P44">
        <v>9</v>
      </c>
      <c r="Q44">
        <v>20</v>
      </c>
      <c r="R44" s="1" t="s">
        <v>26</v>
      </c>
    </row>
    <row r="45" spans="1:18" x14ac:dyDescent="0.35">
      <c r="A45" s="1" t="s">
        <v>100</v>
      </c>
      <c r="B45" s="1" t="s">
        <v>18</v>
      </c>
      <c r="C45" s="1" t="s">
        <v>28</v>
      </c>
      <c r="D45" s="1" t="s">
        <v>71</v>
      </c>
      <c r="E45" s="1" t="s">
        <v>45</v>
      </c>
      <c r="F45">
        <v>2</v>
      </c>
      <c r="G45">
        <v>77.22</v>
      </c>
      <c r="H45" s="1" t="s">
        <v>101</v>
      </c>
      <c r="I45" s="1" t="s">
        <v>23</v>
      </c>
      <c r="J45" s="2">
        <v>44678</v>
      </c>
      <c r="K45" s="1" t="s">
        <v>24</v>
      </c>
      <c r="L45" s="1">
        <f>IF(Subscriptions[[#This Row],[churned]]="Yes",1,0)</f>
        <v>1</v>
      </c>
      <c r="M45" s="2">
        <v>44775</v>
      </c>
      <c r="N45" s="1" t="s">
        <v>25</v>
      </c>
      <c r="O45">
        <v>7</v>
      </c>
      <c r="P45">
        <v>6</v>
      </c>
      <c r="Q45">
        <v>20</v>
      </c>
      <c r="R45" s="1" t="s">
        <v>26</v>
      </c>
    </row>
    <row r="46" spans="1:18" x14ac:dyDescent="0.35">
      <c r="A46" s="1" t="s">
        <v>102</v>
      </c>
      <c r="B46" s="1" t="s">
        <v>32</v>
      </c>
      <c r="C46" s="1" t="s">
        <v>19</v>
      </c>
      <c r="D46" s="1" t="s">
        <v>20</v>
      </c>
      <c r="E46" s="1" t="s">
        <v>39</v>
      </c>
      <c r="F46">
        <v>7</v>
      </c>
      <c r="G46">
        <v>55.1</v>
      </c>
      <c r="H46" s="1" t="s">
        <v>101</v>
      </c>
      <c r="I46" s="1" t="s">
        <v>72</v>
      </c>
      <c r="J46" s="2">
        <v>45910</v>
      </c>
      <c r="K46" s="1" t="s">
        <v>26</v>
      </c>
      <c r="L46" s="1">
        <f>IF(Subscriptions[[#This Row],[churned]]="Yes",1,0)</f>
        <v>0</v>
      </c>
      <c r="M46" s="2"/>
      <c r="N46" s="1" t="s">
        <v>30</v>
      </c>
      <c r="O46">
        <v>12</v>
      </c>
      <c r="P46">
        <v>4</v>
      </c>
      <c r="Q46">
        <v>67</v>
      </c>
      <c r="R46" s="1" t="s">
        <v>26</v>
      </c>
    </row>
    <row r="47" spans="1:18" x14ac:dyDescent="0.35">
      <c r="A47" s="1" t="s">
        <v>103</v>
      </c>
      <c r="B47" s="1" t="s">
        <v>18</v>
      </c>
      <c r="C47" s="1" t="s">
        <v>19</v>
      </c>
      <c r="D47" s="1" t="s">
        <v>33</v>
      </c>
      <c r="E47" s="1" t="s">
        <v>45</v>
      </c>
      <c r="F47">
        <v>4</v>
      </c>
      <c r="G47">
        <v>114.55</v>
      </c>
      <c r="H47" s="1" t="s">
        <v>63</v>
      </c>
      <c r="I47" s="1" t="s">
        <v>23</v>
      </c>
      <c r="J47" s="2">
        <v>45114</v>
      </c>
      <c r="K47" s="1" t="s">
        <v>24</v>
      </c>
      <c r="L47" s="1">
        <f>IF(Subscriptions[[#This Row],[churned]]="Yes",1,0)</f>
        <v>1</v>
      </c>
      <c r="M47" s="2">
        <v>45350</v>
      </c>
      <c r="N47" s="1" t="s">
        <v>85</v>
      </c>
      <c r="O47">
        <v>1</v>
      </c>
      <c r="P47">
        <v>6</v>
      </c>
      <c r="Q47">
        <v>42</v>
      </c>
      <c r="R47" s="1" t="s">
        <v>26</v>
      </c>
    </row>
    <row r="48" spans="1:18" x14ac:dyDescent="0.35">
      <c r="A48" s="1" t="s">
        <v>104</v>
      </c>
      <c r="B48" s="1" t="s">
        <v>37</v>
      </c>
      <c r="C48" s="1" t="s">
        <v>19</v>
      </c>
      <c r="D48" s="1" t="s">
        <v>52</v>
      </c>
      <c r="E48" s="1" t="s">
        <v>45</v>
      </c>
      <c r="F48">
        <v>5</v>
      </c>
      <c r="G48">
        <v>318.39999999999998</v>
      </c>
      <c r="H48" s="1" t="s">
        <v>35</v>
      </c>
      <c r="I48" s="1" t="s">
        <v>23</v>
      </c>
      <c r="J48" s="2">
        <v>44943</v>
      </c>
      <c r="K48" s="1" t="s">
        <v>24</v>
      </c>
      <c r="L48" s="1">
        <f>IF(Subscriptions[[#This Row],[churned]]="Yes",1,0)</f>
        <v>1</v>
      </c>
      <c r="M48" s="2">
        <v>45821</v>
      </c>
      <c r="N48" s="1" t="s">
        <v>66</v>
      </c>
      <c r="O48">
        <v>15</v>
      </c>
      <c r="P48">
        <v>4</v>
      </c>
      <c r="Q48">
        <v>46</v>
      </c>
      <c r="R48" s="1" t="s">
        <v>26</v>
      </c>
    </row>
    <row r="49" spans="1:18" x14ac:dyDescent="0.35">
      <c r="A49" s="1" t="s">
        <v>105</v>
      </c>
      <c r="B49" s="1" t="s">
        <v>37</v>
      </c>
      <c r="C49" s="1" t="s">
        <v>28</v>
      </c>
      <c r="D49" s="1" t="s">
        <v>65</v>
      </c>
      <c r="E49" s="1" t="s">
        <v>45</v>
      </c>
      <c r="F49">
        <v>4</v>
      </c>
      <c r="G49">
        <v>245.27</v>
      </c>
      <c r="H49" s="1" t="s">
        <v>46</v>
      </c>
      <c r="I49" s="1" t="s">
        <v>40</v>
      </c>
      <c r="J49" s="2">
        <v>44669</v>
      </c>
      <c r="K49" s="1" t="s">
        <v>24</v>
      </c>
      <c r="L49" s="1">
        <f>IF(Subscriptions[[#This Row],[churned]]="Yes",1,0)</f>
        <v>1</v>
      </c>
      <c r="M49" s="2">
        <v>44754</v>
      </c>
      <c r="N49" s="1" t="s">
        <v>56</v>
      </c>
      <c r="O49">
        <v>4</v>
      </c>
      <c r="P49">
        <v>5</v>
      </c>
      <c r="Q49">
        <v>16</v>
      </c>
      <c r="R49" s="1" t="s">
        <v>26</v>
      </c>
    </row>
    <row r="50" spans="1:18" x14ac:dyDescent="0.35">
      <c r="A50" s="1" t="s">
        <v>106</v>
      </c>
      <c r="B50" s="1" t="s">
        <v>18</v>
      </c>
      <c r="C50" s="1" t="s">
        <v>19</v>
      </c>
      <c r="D50" s="1" t="s">
        <v>38</v>
      </c>
      <c r="E50" s="1" t="s">
        <v>21</v>
      </c>
      <c r="F50">
        <v>36</v>
      </c>
      <c r="G50">
        <v>493.75</v>
      </c>
      <c r="H50" s="1" t="s">
        <v>35</v>
      </c>
      <c r="I50" s="1" t="s">
        <v>58</v>
      </c>
      <c r="J50" s="2">
        <v>44699</v>
      </c>
      <c r="K50" s="1" t="s">
        <v>24</v>
      </c>
      <c r="L50" s="1">
        <f>IF(Subscriptions[[#This Row],[churned]]="Yes",1,0)</f>
        <v>1</v>
      </c>
      <c r="M50" s="2">
        <v>44800</v>
      </c>
      <c r="N50" s="1" t="s">
        <v>49</v>
      </c>
      <c r="O50">
        <v>1</v>
      </c>
      <c r="P50">
        <v>6</v>
      </c>
      <c r="Q50">
        <v>26</v>
      </c>
      <c r="R50" s="1" t="s">
        <v>26</v>
      </c>
    </row>
    <row r="51" spans="1:18" x14ac:dyDescent="0.35">
      <c r="A51" s="1" t="s">
        <v>107</v>
      </c>
      <c r="B51" s="1" t="s">
        <v>32</v>
      </c>
      <c r="C51" s="1" t="s">
        <v>28</v>
      </c>
      <c r="D51" s="1" t="s">
        <v>55</v>
      </c>
      <c r="E51" s="1" t="s">
        <v>45</v>
      </c>
      <c r="F51">
        <v>7</v>
      </c>
      <c r="G51">
        <v>46.83</v>
      </c>
      <c r="H51" s="1" t="s">
        <v>22</v>
      </c>
      <c r="I51" s="1" t="s">
        <v>23</v>
      </c>
      <c r="J51" s="2">
        <v>44734</v>
      </c>
      <c r="K51" s="1" t="s">
        <v>24</v>
      </c>
      <c r="L51" s="1">
        <f>IF(Subscriptions[[#This Row],[churned]]="Yes",1,0)</f>
        <v>1</v>
      </c>
      <c r="M51" s="2">
        <v>45473</v>
      </c>
      <c r="N51" s="1" t="s">
        <v>25</v>
      </c>
      <c r="O51">
        <v>2</v>
      </c>
      <c r="P51">
        <v>3</v>
      </c>
      <c r="Q51">
        <v>38</v>
      </c>
      <c r="R51" s="1" t="s">
        <v>26</v>
      </c>
    </row>
    <row r="52" spans="1:18" x14ac:dyDescent="0.35">
      <c r="A52" s="1" t="s">
        <v>108</v>
      </c>
      <c r="B52" s="1" t="s">
        <v>18</v>
      </c>
      <c r="C52" s="1" t="s">
        <v>19</v>
      </c>
      <c r="D52" s="1" t="s">
        <v>82</v>
      </c>
      <c r="E52" s="1" t="s">
        <v>21</v>
      </c>
      <c r="F52">
        <v>58</v>
      </c>
      <c r="G52">
        <v>754.45</v>
      </c>
      <c r="H52" s="1" t="s">
        <v>35</v>
      </c>
      <c r="I52" s="1" t="s">
        <v>40</v>
      </c>
      <c r="J52" s="2">
        <v>44922</v>
      </c>
      <c r="K52" s="1" t="s">
        <v>24</v>
      </c>
      <c r="L52" s="1">
        <f>IF(Subscriptions[[#This Row],[churned]]="Yes",1,0)</f>
        <v>1</v>
      </c>
      <c r="M52" s="2">
        <v>45030</v>
      </c>
      <c r="N52" s="1" t="s">
        <v>25</v>
      </c>
      <c r="O52">
        <v>10</v>
      </c>
      <c r="P52">
        <v>3</v>
      </c>
      <c r="Q52">
        <v>29</v>
      </c>
      <c r="R52" s="1" t="s">
        <v>26</v>
      </c>
    </row>
    <row r="53" spans="1:18" x14ac:dyDescent="0.35">
      <c r="A53" s="1" t="s">
        <v>109</v>
      </c>
      <c r="B53" s="1" t="s">
        <v>32</v>
      </c>
      <c r="C53" s="1" t="s">
        <v>19</v>
      </c>
      <c r="D53" s="1" t="s">
        <v>55</v>
      </c>
      <c r="E53" s="1" t="s">
        <v>48</v>
      </c>
      <c r="F53">
        <v>138</v>
      </c>
      <c r="G53">
        <v>624.95000000000005</v>
      </c>
      <c r="H53" s="1" t="s">
        <v>46</v>
      </c>
      <c r="I53" s="1" t="s">
        <v>23</v>
      </c>
      <c r="J53" s="2">
        <v>45732</v>
      </c>
      <c r="K53" s="1" t="s">
        <v>24</v>
      </c>
      <c r="L53" s="1">
        <f>IF(Subscriptions[[#This Row],[churned]]="Yes",1,0)</f>
        <v>1</v>
      </c>
      <c r="M53" s="2">
        <v>45853</v>
      </c>
      <c r="N53" s="1" t="s">
        <v>56</v>
      </c>
      <c r="O53">
        <v>0</v>
      </c>
      <c r="P53">
        <v>1</v>
      </c>
      <c r="Q53">
        <v>38</v>
      </c>
      <c r="R53" s="1" t="s">
        <v>26</v>
      </c>
    </row>
    <row r="54" spans="1:18" x14ac:dyDescent="0.35">
      <c r="A54" s="1" t="s">
        <v>110</v>
      </c>
      <c r="B54" s="1" t="s">
        <v>32</v>
      </c>
      <c r="C54" s="1" t="s">
        <v>19</v>
      </c>
      <c r="D54" s="1" t="s">
        <v>42</v>
      </c>
      <c r="E54" s="1" t="s">
        <v>45</v>
      </c>
      <c r="F54">
        <v>4</v>
      </c>
      <c r="G54">
        <v>42.05</v>
      </c>
      <c r="H54" s="1" t="s">
        <v>22</v>
      </c>
      <c r="I54" s="1" t="s">
        <v>23</v>
      </c>
      <c r="J54" s="2">
        <v>45750</v>
      </c>
      <c r="K54" s="1" t="s">
        <v>24</v>
      </c>
      <c r="L54" s="1">
        <f>IF(Subscriptions[[#This Row],[churned]]="Yes",1,0)</f>
        <v>1</v>
      </c>
      <c r="M54" s="2">
        <v>45842</v>
      </c>
      <c r="N54" s="1" t="s">
        <v>25</v>
      </c>
      <c r="O54">
        <v>1</v>
      </c>
      <c r="P54">
        <v>2</v>
      </c>
      <c r="Q54">
        <v>43</v>
      </c>
      <c r="R54" s="1" t="s">
        <v>26</v>
      </c>
    </row>
    <row r="55" spans="1:18" x14ac:dyDescent="0.35">
      <c r="A55" s="1" t="s">
        <v>111</v>
      </c>
      <c r="B55" s="1" t="s">
        <v>18</v>
      </c>
      <c r="C55" s="1" t="s">
        <v>28</v>
      </c>
      <c r="D55" s="1" t="s">
        <v>55</v>
      </c>
      <c r="E55" s="1" t="s">
        <v>48</v>
      </c>
      <c r="F55">
        <v>82</v>
      </c>
      <c r="G55">
        <v>883.02</v>
      </c>
      <c r="H55" s="1" t="s">
        <v>101</v>
      </c>
      <c r="I55" s="1" t="s">
        <v>23</v>
      </c>
      <c r="J55" s="2">
        <v>45466</v>
      </c>
      <c r="K55" s="1" t="s">
        <v>26</v>
      </c>
      <c r="L55" s="1">
        <f>IF(Subscriptions[[#This Row],[churned]]="Yes",1,0)</f>
        <v>0</v>
      </c>
      <c r="M55" s="2"/>
      <c r="N55" s="1" t="s">
        <v>30</v>
      </c>
      <c r="O55">
        <v>4</v>
      </c>
      <c r="P55">
        <v>8</v>
      </c>
      <c r="Q55">
        <v>81</v>
      </c>
      <c r="R55" s="1" t="s">
        <v>26</v>
      </c>
    </row>
    <row r="56" spans="1:18" x14ac:dyDescent="0.35">
      <c r="A56" s="1" t="s">
        <v>112</v>
      </c>
      <c r="B56" s="1" t="s">
        <v>37</v>
      </c>
      <c r="C56" s="1" t="s">
        <v>19</v>
      </c>
      <c r="D56" s="1" t="s">
        <v>42</v>
      </c>
      <c r="E56" s="1" t="s">
        <v>45</v>
      </c>
      <c r="F56">
        <v>7</v>
      </c>
      <c r="G56">
        <v>378.1</v>
      </c>
      <c r="H56" s="1" t="s">
        <v>22</v>
      </c>
      <c r="I56" s="1" t="s">
        <v>23</v>
      </c>
      <c r="J56" s="2">
        <v>44664</v>
      </c>
      <c r="K56" s="1" t="s">
        <v>24</v>
      </c>
      <c r="L56" s="1">
        <f>IF(Subscriptions[[#This Row],[churned]]="Yes",1,0)</f>
        <v>1</v>
      </c>
      <c r="M56" s="2">
        <v>45551</v>
      </c>
      <c r="N56" s="1" t="s">
        <v>85</v>
      </c>
      <c r="O56">
        <v>6</v>
      </c>
      <c r="P56">
        <v>2</v>
      </c>
      <c r="Q56">
        <v>21</v>
      </c>
      <c r="R56" s="1" t="s">
        <v>26</v>
      </c>
    </row>
    <row r="57" spans="1:18" x14ac:dyDescent="0.35">
      <c r="A57" s="1" t="s">
        <v>113</v>
      </c>
      <c r="B57" s="1" t="s">
        <v>37</v>
      </c>
      <c r="C57" s="1" t="s">
        <v>19</v>
      </c>
      <c r="D57" s="1" t="s">
        <v>44</v>
      </c>
      <c r="E57" s="1" t="s">
        <v>39</v>
      </c>
      <c r="F57">
        <v>14</v>
      </c>
      <c r="G57">
        <v>587.04999999999995</v>
      </c>
      <c r="H57" s="1" t="s">
        <v>63</v>
      </c>
      <c r="I57" s="1" t="s">
        <v>23</v>
      </c>
      <c r="J57" s="2">
        <v>45649</v>
      </c>
      <c r="K57" s="1" t="s">
        <v>24</v>
      </c>
      <c r="L57" s="1">
        <f>IF(Subscriptions[[#This Row],[churned]]="Yes",1,0)</f>
        <v>1</v>
      </c>
      <c r="M57" s="2">
        <v>45976</v>
      </c>
      <c r="N57" s="1" t="s">
        <v>85</v>
      </c>
      <c r="O57">
        <v>3</v>
      </c>
      <c r="P57">
        <v>2</v>
      </c>
      <c r="Q57">
        <v>37</v>
      </c>
      <c r="R57" s="1" t="s">
        <v>26</v>
      </c>
    </row>
    <row r="58" spans="1:18" x14ac:dyDescent="0.35">
      <c r="A58" s="1" t="s">
        <v>114</v>
      </c>
      <c r="B58" s="1" t="s">
        <v>18</v>
      </c>
      <c r="C58" s="1" t="s">
        <v>28</v>
      </c>
      <c r="D58" s="1" t="s">
        <v>55</v>
      </c>
      <c r="E58" s="1" t="s">
        <v>39</v>
      </c>
      <c r="F58">
        <v>34</v>
      </c>
      <c r="G58">
        <v>399.54</v>
      </c>
      <c r="H58" s="1" t="s">
        <v>46</v>
      </c>
      <c r="I58" s="1" t="s">
        <v>23</v>
      </c>
      <c r="J58" s="2">
        <v>45485</v>
      </c>
      <c r="K58" s="1" t="s">
        <v>24</v>
      </c>
      <c r="L58" s="1">
        <f>IF(Subscriptions[[#This Row],[churned]]="Yes",1,0)</f>
        <v>1</v>
      </c>
      <c r="M58" s="2">
        <v>45874</v>
      </c>
      <c r="N58" s="1" t="s">
        <v>66</v>
      </c>
      <c r="O58">
        <v>1</v>
      </c>
      <c r="P58">
        <v>1</v>
      </c>
      <c r="Q58">
        <v>10</v>
      </c>
      <c r="R58" s="1" t="s">
        <v>26</v>
      </c>
    </row>
    <row r="59" spans="1:18" x14ac:dyDescent="0.35">
      <c r="A59" s="1" t="s">
        <v>115</v>
      </c>
      <c r="B59" s="1" t="s">
        <v>32</v>
      </c>
      <c r="C59" s="1" t="s">
        <v>19</v>
      </c>
      <c r="D59" s="1" t="s">
        <v>38</v>
      </c>
      <c r="E59" s="1" t="s">
        <v>48</v>
      </c>
      <c r="F59">
        <v>48</v>
      </c>
      <c r="G59">
        <v>233.45</v>
      </c>
      <c r="H59" s="1" t="s">
        <v>46</v>
      </c>
      <c r="I59" s="1" t="s">
        <v>40</v>
      </c>
      <c r="J59" s="2">
        <v>44814</v>
      </c>
      <c r="K59" s="1" t="s">
        <v>24</v>
      </c>
      <c r="L59" s="1">
        <f>IF(Subscriptions[[#This Row],[churned]]="Yes",1,0)</f>
        <v>1</v>
      </c>
      <c r="M59" s="2">
        <v>45002</v>
      </c>
      <c r="N59" s="1" t="s">
        <v>25</v>
      </c>
      <c r="O59">
        <v>2</v>
      </c>
      <c r="P59">
        <v>1</v>
      </c>
      <c r="Q59">
        <v>12</v>
      </c>
      <c r="R59" s="1" t="s">
        <v>26</v>
      </c>
    </row>
    <row r="60" spans="1:18" x14ac:dyDescent="0.35">
      <c r="A60" s="1" t="s">
        <v>116</v>
      </c>
      <c r="B60" s="1" t="s">
        <v>18</v>
      </c>
      <c r="C60" s="1" t="s">
        <v>28</v>
      </c>
      <c r="D60" s="1" t="s">
        <v>55</v>
      </c>
      <c r="E60" s="1" t="s">
        <v>39</v>
      </c>
      <c r="F60">
        <v>28</v>
      </c>
      <c r="G60">
        <v>339.11</v>
      </c>
      <c r="H60" s="1" t="s">
        <v>101</v>
      </c>
      <c r="I60" s="1" t="s">
        <v>23</v>
      </c>
      <c r="J60" s="2">
        <v>45290</v>
      </c>
      <c r="K60" s="1" t="s">
        <v>24</v>
      </c>
      <c r="L60" s="1">
        <f>IF(Subscriptions[[#This Row],[churned]]="Yes",1,0)</f>
        <v>1</v>
      </c>
      <c r="M60" s="2">
        <v>45575</v>
      </c>
      <c r="N60" s="1" t="s">
        <v>85</v>
      </c>
      <c r="O60">
        <v>5</v>
      </c>
      <c r="P60">
        <v>1</v>
      </c>
      <c r="Q60">
        <v>13</v>
      </c>
      <c r="R60" s="1" t="s">
        <v>26</v>
      </c>
    </row>
    <row r="61" spans="1:18" x14ac:dyDescent="0.35">
      <c r="A61" s="1" t="s">
        <v>117</v>
      </c>
      <c r="B61" s="1" t="s">
        <v>18</v>
      </c>
      <c r="C61" s="1" t="s">
        <v>19</v>
      </c>
      <c r="D61" s="1" t="s">
        <v>33</v>
      </c>
      <c r="E61" s="1" t="s">
        <v>21</v>
      </c>
      <c r="F61">
        <v>59</v>
      </c>
      <c r="G61">
        <v>766.3</v>
      </c>
      <c r="H61" s="1" t="s">
        <v>35</v>
      </c>
      <c r="I61" s="1" t="s">
        <v>58</v>
      </c>
      <c r="J61" s="2">
        <v>45503</v>
      </c>
      <c r="K61" s="1" t="s">
        <v>24</v>
      </c>
      <c r="L61" s="1">
        <f>IF(Subscriptions[[#This Row],[churned]]="Yes",1,0)</f>
        <v>1</v>
      </c>
      <c r="M61" s="2">
        <v>45542</v>
      </c>
      <c r="N61" s="1" t="s">
        <v>53</v>
      </c>
      <c r="O61">
        <v>12</v>
      </c>
      <c r="P61">
        <v>1</v>
      </c>
      <c r="Q61">
        <v>45</v>
      </c>
      <c r="R61" s="1" t="s">
        <v>26</v>
      </c>
    </row>
    <row r="62" spans="1:18" x14ac:dyDescent="0.35">
      <c r="A62" s="1" t="s">
        <v>118</v>
      </c>
      <c r="B62" s="1" t="s">
        <v>37</v>
      </c>
      <c r="C62" s="1" t="s">
        <v>19</v>
      </c>
      <c r="D62" s="1" t="s">
        <v>71</v>
      </c>
      <c r="E62" s="1" t="s">
        <v>21</v>
      </c>
      <c r="F62">
        <v>53</v>
      </c>
      <c r="G62">
        <v>1751.2</v>
      </c>
      <c r="H62" s="1" t="s">
        <v>46</v>
      </c>
      <c r="I62" s="1" t="s">
        <v>40</v>
      </c>
      <c r="J62" s="2">
        <v>44645</v>
      </c>
      <c r="K62" s="1" t="s">
        <v>24</v>
      </c>
      <c r="L62" s="1">
        <f>IF(Subscriptions[[#This Row],[churned]]="Yes",1,0)</f>
        <v>1</v>
      </c>
      <c r="M62" s="2">
        <v>45022</v>
      </c>
      <c r="N62" s="1" t="s">
        <v>53</v>
      </c>
      <c r="O62">
        <v>13</v>
      </c>
      <c r="P62">
        <v>5</v>
      </c>
      <c r="Q62">
        <v>11</v>
      </c>
      <c r="R62" s="1" t="s">
        <v>26</v>
      </c>
    </row>
    <row r="63" spans="1:18" x14ac:dyDescent="0.35">
      <c r="A63" s="1" t="s">
        <v>119</v>
      </c>
      <c r="B63" s="1" t="s">
        <v>18</v>
      </c>
      <c r="C63" s="1" t="s">
        <v>19</v>
      </c>
      <c r="D63" s="1" t="s">
        <v>33</v>
      </c>
      <c r="E63" s="1" t="s">
        <v>39</v>
      </c>
      <c r="F63">
        <v>21</v>
      </c>
      <c r="G63">
        <v>316</v>
      </c>
      <c r="H63" s="1" t="s">
        <v>63</v>
      </c>
      <c r="I63" s="1" t="s">
        <v>23</v>
      </c>
      <c r="J63" s="2">
        <v>44835</v>
      </c>
      <c r="K63" s="1" t="s">
        <v>24</v>
      </c>
      <c r="L63" s="1">
        <f>IF(Subscriptions[[#This Row],[churned]]="Yes",1,0)</f>
        <v>1</v>
      </c>
      <c r="M63" s="2">
        <v>45395</v>
      </c>
      <c r="N63" s="1" t="s">
        <v>53</v>
      </c>
      <c r="O63">
        <v>1</v>
      </c>
      <c r="P63">
        <v>3</v>
      </c>
      <c r="Q63">
        <v>16</v>
      </c>
      <c r="R63" s="1" t="s">
        <v>26</v>
      </c>
    </row>
    <row r="64" spans="1:18" x14ac:dyDescent="0.35">
      <c r="A64" s="1" t="s">
        <v>120</v>
      </c>
      <c r="B64" s="1" t="s">
        <v>74</v>
      </c>
      <c r="C64" s="1" t="s">
        <v>28</v>
      </c>
      <c r="D64" s="1" t="s">
        <v>20</v>
      </c>
      <c r="E64" s="1" t="s">
        <v>39</v>
      </c>
      <c r="F64">
        <v>18</v>
      </c>
      <c r="G64">
        <v>1505.73</v>
      </c>
      <c r="H64" s="1" t="s">
        <v>22</v>
      </c>
      <c r="I64" s="1" t="s">
        <v>23</v>
      </c>
      <c r="J64" s="2">
        <v>45890</v>
      </c>
      <c r="K64" s="1" t="s">
        <v>26</v>
      </c>
      <c r="L64" s="1">
        <f>IF(Subscriptions[[#This Row],[churned]]="Yes",1,0)</f>
        <v>0</v>
      </c>
      <c r="M64" s="2"/>
      <c r="N64" s="1" t="s">
        <v>30</v>
      </c>
      <c r="O64">
        <v>3</v>
      </c>
      <c r="P64">
        <v>7</v>
      </c>
      <c r="Q64">
        <v>61</v>
      </c>
      <c r="R64" s="1" t="s">
        <v>26</v>
      </c>
    </row>
    <row r="65" spans="1:18" x14ac:dyDescent="0.35">
      <c r="A65" s="1" t="s">
        <v>121</v>
      </c>
      <c r="B65" s="1" t="s">
        <v>18</v>
      </c>
      <c r="C65" s="1" t="s">
        <v>28</v>
      </c>
      <c r="D65" s="1" t="s">
        <v>20</v>
      </c>
      <c r="E65" s="1" t="s">
        <v>21</v>
      </c>
      <c r="F65">
        <v>51</v>
      </c>
      <c r="G65">
        <v>570.77</v>
      </c>
      <c r="H65" s="1" t="s">
        <v>29</v>
      </c>
      <c r="I65" s="1" t="s">
        <v>58</v>
      </c>
      <c r="J65" s="2">
        <v>44836</v>
      </c>
      <c r="K65" s="1" t="s">
        <v>26</v>
      </c>
      <c r="L65" s="1">
        <f>IF(Subscriptions[[#This Row],[churned]]="Yes",1,0)</f>
        <v>0</v>
      </c>
      <c r="M65" s="2"/>
      <c r="N65" s="1" t="s">
        <v>30</v>
      </c>
      <c r="O65">
        <v>1</v>
      </c>
      <c r="P65">
        <v>10</v>
      </c>
      <c r="Q65">
        <v>33</v>
      </c>
      <c r="R65" s="1" t="s">
        <v>26</v>
      </c>
    </row>
    <row r="66" spans="1:18" x14ac:dyDescent="0.35">
      <c r="A66" s="1" t="s">
        <v>122</v>
      </c>
      <c r="B66" s="1" t="s">
        <v>32</v>
      </c>
      <c r="C66" s="1" t="s">
        <v>19</v>
      </c>
      <c r="D66" s="1" t="s">
        <v>42</v>
      </c>
      <c r="E66" s="1" t="s">
        <v>48</v>
      </c>
      <c r="F66">
        <v>60</v>
      </c>
      <c r="G66">
        <v>285.64999999999998</v>
      </c>
      <c r="H66" s="1" t="s">
        <v>29</v>
      </c>
      <c r="I66" s="1" t="s">
        <v>23</v>
      </c>
      <c r="J66" s="2">
        <v>44877</v>
      </c>
      <c r="K66" s="1" t="s">
        <v>24</v>
      </c>
      <c r="L66" s="1">
        <f>IF(Subscriptions[[#This Row],[churned]]="Yes",1,0)</f>
        <v>1</v>
      </c>
      <c r="M66" s="2">
        <v>44885</v>
      </c>
      <c r="N66" s="1" t="s">
        <v>49</v>
      </c>
      <c r="O66">
        <v>13</v>
      </c>
      <c r="P66">
        <v>3</v>
      </c>
      <c r="Q66">
        <v>46</v>
      </c>
      <c r="R66" s="1" t="s">
        <v>26</v>
      </c>
    </row>
    <row r="67" spans="1:18" x14ac:dyDescent="0.35">
      <c r="A67" s="1" t="s">
        <v>123</v>
      </c>
      <c r="B67" s="1" t="s">
        <v>32</v>
      </c>
      <c r="C67" s="1" t="s">
        <v>28</v>
      </c>
      <c r="D67" s="1" t="s">
        <v>65</v>
      </c>
      <c r="E67" s="1" t="s">
        <v>21</v>
      </c>
      <c r="F67">
        <v>55</v>
      </c>
      <c r="G67">
        <v>224.31</v>
      </c>
      <c r="H67" s="1" t="s">
        <v>22</v>
      </c>
      <c r="I67" s="1" t="s">
        <v>23</v>
      </c>
      <c r="J67" s="2">
        <v>45471</v>
      </c>
      <c r="K67" s="1" t="s">
        <v>24</v>
      </c>
      <c r="L67" s="1">
        <f>IF(Subscriptions[[#This Row],[churned]]="Yes",1,0)</f>
        <v>1</v>
      </c>
      <c r="M67" s="2">
        <v>45494</v>
      </c>
      <c r="N67" s="1" t="s">
        <v>49</v>
      </c>
      <c r="O67">
        <v>12</v>
      </c>
      <c r="P67">
        <v>1</v>
      </c>
      <c r="Q67">
        <v>12</v>
      </c>
      <c r="R67" s="1" t="s">
        <v>26</v>
      </c>
    </row>
    <row r="68" spans="1:18" x14ac:dyDescent="0.35">
      <c r="A68" s="1" t="s">
        <v>124</v>
      </c>
      <c r="B68" s="1" t="s">
        <v>37</v>
      </c>
      <c r="C68" s="1" t="s">
        <v>28</v>
      </c>
      <c r="D68" s="1" t="s">
        <v>52</v>
      </c>
      <c r="E68" s="1" t="s">
        <v>45</v>
      </c>
      <c r="F68">
        <v>7</v>
      </c>
      <c r="G68">
        <v>321.38</v>
      </c>
      <c r="H68" s="1" t="s">
        <v>63</v>
      </c>
      <c r="I68" s="1" t="s">
        <v>23</v>
      </c>
      <c r="J68" s="2">
        <v>45197</v>
      </c>
      <c r="K68" s="1" t="s">
        <v>26</v>
      </c>
      <c r="L68" s="1">
        <f>IF(Subscriptions[[#This Row],[churned]]="Yes",1,0)</f>
        <v>0</v>
      </c>
      <c r="M68" s="2"/>
      <c r="N68" s="1" t="s">
        <v>30</v>
      </c>
      <c r="O68">
        <v>4</v>
      </c>
      <c r="P68">
        <v>8</v>
      </c>
      <c r="Q68">
        <v>30</v>
      </c>
      <c r="R68" s="1" t="s">
        <v>26</v>
      </c>
    </row>
    <row r="69" spans="1:18" x14ac:dyDescent="0.35">
      <c r="A69" s="1" t="s">
        <v>125</v>
      </c>
      <c r="B69" s="1" t="s">
        <v>18</v>
      </c>
      <c r="C69" s="1" t="s">
        <v>28</v>
      </c>
      <c r="D69" s="1" t="s">
        <v>65</v>
      </c>
      <c r="E69" s="1" t="s">
        <v>45</v>
      </c>
      <c r="F69">
        <v>1</v>
      </c>
      <c r="G69">
        <v>67.150000000000006</v>
      </c>
      <c r="H69" s="1" t="s">
        <v>46</v>
      </c>
      <c r="I69" s="1" t="s">
        <v>58</v>
      </c>
      <c r="J69" s="2">
        <v>45993</v>
      </c>
      <c r="K69" s="1" t="s">
        <v>26</v>
      </c>
      <c r="L69" s="1">
        <f>IF(Subscriptions[[#This Row],[churned]]="Yes",1,0)</f>
        <v>0</v>
      </c>
      <c r="M69" s="2"/>
      <c r="N69" s="1" t="s">
        <v>30</v>
      </c>
      <c r="O69">
        <v>7</v>
      </c>
      <c r="P69">
        <v>3</v>
      </c>
      <c r="Q69">
        <v>29</v>
      </c>
      <c r="R69" s="1" t="s">
        <v>26</v>
      </c>
    </row>
    <row r="70" spans="1:18" x14ac:dyDescent="0.35">
      <c r="A70" s="1" t="s">
        <v>126</v>
      </c>
      <c r="B70" s="1" t="s">
        <v>32</v>
      </c>
      <c r="C70" s="1" t="s">
        <v>28</v>
      </c>
      <c r="D70" s="1" t="s">
        <v>52</v>
      </c>
      <c r="E70" s="1" t="s">
        <v>45</v>
      </c>
      <c r="F70">
        <v>2</v>
      </c>
      <c r="G70">
        <v>28.35</v>
      </c>
      <c r="H70" s="1" t="s">
        <v>22</v>
      </c>
      <c r="I70" s="1" t="s">
        <v>40</v>
      </c>
      <c r="J70" s="2">
        <v>45137</v>
      </c>
      <c r="K70" s="1" t="s">
        <v>24</v>
      </c>
      <c r="L70" s="1">
        <f>IF(Subscriptions[[#This Row],[churned]]="Yes",1,0)</f>
        <v>1</v>
      </c>
      <c r="M70" s="2">
        <v>45552</v>
      </c>
      <c r="N70" s="1" t="s">
        <v>85</v>
      </c>
      <c r="O70">
        <v>1</v>
      </c>
      <c r="P70">
        <v>2</v>
      </c>
      <c r="Q70">
        <v>25</v>
      </c>
      <c r="R70" s="1" t="s">
        <v>26</v>
      </c>
    </row>
    <row r="71" spans="1:18" x14ac:dyDescent="0.35">
      <c r="A71" s="1" t="s">
        <v>127</v>
      </c>
      <c r="B71" s="1" t="s">
        <v>37</v>
      </c>
      <c r="C71" s="1" t="s">
        <v>19</v>
      </c>
      <c r="D71" s="1" t="s">
        <v>44</v>
      </c>
      <c r="E71" s="1" t="s">
        <v>21</v>
      </c>
      <c r="F71">
        <v>64</v>
      </c>
      <c r="G71">
        <v>2079.5500000000002</v>
      </c>
      <c r="H71" s="1" t="s">
        <v>22</v>
      </c>
      <c r="I71" s="1" t="s">
        <v>23</v>
      </c>
      <c r="J71" s="2">
        <v>44798</v>
      </c>
      <c r="K71" s="1" t="s">
        <v>24</v>
      </c>
      <c r="L71" s="1">
        <f>IF(Subscriptions[[#This Row],[churned]]="Yes",1,0)</f>
        <v>1</v>
      </c>
      <c r="M71" s="2">
        <v>44800</v>
      </c>
      <c r="N71" s="1" t="s">
        <v>66</v>
      </c>
      <c r="O71">
        <v>3</v>
      </c>
      <c r="P71">
        <v>1</v>
      </c>
      <c r="Q71">
        <v>28</v>
      </c>
      <c r="R71" s="1" t="s">
        <v>26</v>
      </c>
    </row>
    <row r="72" spans="1:18" x14ac:dyDescent="0.35">
      <c r="A72" s="1" t="s">
        <v>128</v>
      </c>
      <c r="B72" s="1" t="s">
        <v>74</v>
      </c>
      <c r="C72" s="1" t="s">
        <v>19</v>
      </c>
      <c r="D72" s="1" t="s">
        <v>20</v>
      </c>
      <c r="E72" s="1" t="s">
        <v>48</v>
      </c>
      <c r="F72">
        <v>58</v>
      </c>
      <c r="G72">
        <v>4765.45</v>
      </c>
      <c r="H72" s="1" t="s">
        <v>22</v>
      </c>
      <c r="I72" s="1" t="s">
        <v>40</v>
      </c>
      <c r="J72" s="2">
        <v>44583</v>
      </c>
      <c r="K72" s="1" t="s">
        <v>26</v>
      </c>
      <c r="L72" s="1">
        <f>IF(Subscriptions[[#This Row],[churned]]="Yes",1,0)</f>
        <v>0</v>
      </c>
      <c r="M72" s="2"/>
      <c r="N72" s="1" t="s">
        <v>30</v>
      </c>
      <c r="O72">
        <v>4</v>
      </c>
      <c r="P72">
        <v>10</v>
      </c>
      <c r="Q72">
        <v>42</v>
      </c>
      <c r="R72" s="1" t="s">
        <v>26</v>
      </c>
    </row>
    <row r="73" spans="1:18" x14ac:dyDescent="0.35">
      <c r="A73" s="1" t="s">
        <v>129</v>
      </c>
      <c r="B73" s="1" t="s">
        <v>32</v>
      </c>
      <c r="C73" s="1" t="s">
        <v>19</v>
      </c>
      <c r="D73" s="1" t="s">
        <v>82</v>
      </c>
      <c r="E73" s="1" t="s">
        <v>21</v>
      </c>
      <c r="F73">
        <v>31</v>
      </c>
      <c r="G73">
        <v>159.5</v>
      </c>
      <c r="H73" s="1" t="s">
        <v>22</v>
      </c>
      <c r="I73" s="1" t="s">
        <v>23</v>
      </c>
      <c r="J73" s="2">
        <v>45464</v>
      </c>
      <c r="K73" s="1" t="s">
        <v>26</v>
      </c>
      <c r="L73" s="1">
        <f>IF(Subscriptions[[#This Row],[churned]]="Yes",1,0)</f>
        <v>0</v>
      </c>
      <c r="M73" s="2"/>
      <c r="N73" s="1" t="s">
        <v>30</v>
      </c>
      <c r="O73">
        <v>7</v>
      </c>
      <c r="P73">
        <v>10</v>
      </c>
      <c r="Q73">
        <v>81</v>
      </c>
      <c r="R73" s="1" t="s">
        <v>26</v>
      </c>
    </row>
    <row r="74" spans="1:18" x14ac:dyDescent="0.35">
      <c r="A74" s="1" t="s">
        <v>130</v>
      </c>
      <c r="B74" s="1" t="s">
        <v>18</v>
      </c>
      <c r="C74" s="1" t="s">
        <v>19</v>
      </c>
      <c r="D74" s="1" t="s">
        <v>55</v>
      </c>
      <c r="E74" s="1" t="s">
        <v>48</v>
      </c>
      <c r="F74">
        <v>106</v>
      </c>
      <c r="G74">
        <v>1323.25</v>
      </c>
      <c r="H74" s="1" t="s">
        <v>46</v>
      </c>
      <c r="I74" s="1" t="s">
        <v>23</v>
      </c>
      <c r="J74" s="2">
        <v>45797</v>
      </c>
      <c r="K74" s="1" t="s">
        <v>26</v>
      </c>
      <c r="L74" s="1">
        <f>IF(Subscriptions[[#This Row],[churned]]="Yes",1,0)</f>
        <v>0</v>
      </c>
      <c r="M74" s="2"/>
      <c r="N74" s="1" t="s">
        <v>30</v>
      </c>
      <c r="O74">
        <v>7</v>
      </c>
      <c r="P74">
        <v>2</v>
      </c>
      <c r="Q74">
        <v>87</v>
      </c>
      <c r="R74" s="1" t="s">
        <v>24</v>
      </c>
    </row>
    <row r="75" spans="1:18" x14ac:dyDescent="0.35">
      <c r="A75" s="1" t="s">
        <v>131</v>
      </c>
      <c r="B75" s="1" t="s">
        <v>32</v>
      </c>
      <c r="C75" s="1" t="s">
        <v>19</v>
      </c>
      <c r="D75" s="1" t="s">
        <v>71</v>
      </c>
      <c r="E75" s="1" t="s">
        <v>21</v>
      </c>
      <c r="F75">
        <v>42</v>
      </c>
      <c r="G75">
        <v>207.35</v>
      </c>
      <c r="H75" s="1" t="s">
        <v>63</v>
      </c>
      <c r="I75" s="1" t="s">
        <v>23</v>
      </c>
      <c r="J75" s="2">
        <v>45274</v>
      </c>
      <c r="K75" s="1" t="s">
        <v>24</v>
      </c>
      <c r="L75" s="1">
        <f>IF(Subscriptions[[#This Row],[churned]]="Yes",1,0)</f>
        <v>1</v>
      </c>
      <c r="M75" s="2">
        <v>45629</v>
      </c>
      <c r="N75" s="1" t="s">
        <v>59</v>
      </c>
      <c r="O75">
        <v>12</v>
      </c>
      <c r="P75">
        <v>3</v>
      </c>
      <c r="Q75">
        <v>10</v>
      </c>
      <c r="R75" s="1" t="s">
        <v>26</v>
      </c>
    </row>
    <row r="76" spans="1:18" x14ac:dyDescent="0.35">
      <c r="A76" s="1" t="s">
        <v>132</v>
      </c>
      <c r="B76" s="1" t="s">
        <v>18</v>
      </c>
      <c r="C76" s="1" t="s">
        <v>19</v>
      </c>
      <c r="D76" s="1" t="s">
        <v>20</v>
      </c>
      <c r="E76" s="1" t="s">
        <v>45</v>
      </c>
      <c r="F76">
        <v>6</v>
      </c>
      <c r="G76">
        <v>138.25</v>
      </c>
      <c r="H76" s="1" t="s">
        <v>63</v>
      </c>
      <c r="I76" s="1" t="s">
        <v>23</v>
      </c>
      <c r="J76" s="2">
        <v>44925</v>
      </c>
      <c r="K76" s="1" t="s">
        <v>26</v>
      </c>
      <c r="L76" s="1">
        <f>IF(Subscriptions[[#This Row],[churned]]="Yes",1,0)</f>
        <v>0</v>
      </c>
      <c r="M76" s="2"/>
      <c r="N76" s="1" t="s">
        <v>30</v>
      </c>
      <c r="O76">
        <v>5</v>
      </c>
      <c r="P76">
        <v>1</v>
      </c>
      <c r="Q76">
        <v>49</v>
      </c>
      <c r="R76" s="1" t="s">
        <v>26</v>
      </c>
    </row>
    <row r="77" spans="1:18" x14ac:dyDescent="0.35">
      <c r="A77" s="1" t="s">
        <v>133</v>
      </c>
      <c r="B77" s="1" t="s">
        <v>18</v>
      </c>
      <c r="C77" s="1" t="s">
        <v>28</v>
      </c>
      <c r="D77" s="1" t="s">
        <v>55</v>
      </c>
      <c r="E77" s="1" t="s">
        <v>48</v>
      </c>
      <c r="F77">
        <v>56</v>
      </c>
      <c r="G77">
        <v>621.14</v>
      </c>
      <c r="H77" s="1" t="s">
        <v>46</v>
      </c>
      <c r="I77" s="1" t="s">
        <v>40</v>
      </c>
      <c r="J77" s="2">
        <v>45354</v>
      </c>
      <c r="K77" s="1" t="s">
        <v>26</v>
      </c>
      <c r="L77" s="1">
        <f>IF(Subscriptions[[#This Row],[churned]]="Yes",1,0)</f>
        <v>0</v>
      </c>
      <c r="M77" s="2"/>
      <c r="N77" s="1" t="s">
        <v>30</v>
      </c>
      <c r="O77">
        <v>2</v>
      </c>
      <c r="P77">
        <v>5</v>
      </c>
      <c r="Q77">
        <v>87</v>
      </c>
      <c r="R77" s="1" t="s">
        <v>26</v>
      </c>
    </row>
    <row r="78" spans="1:18" x14ac:dyDescent="0.35">
      <c r="A78" s="1" t="s">
        <v>134</v>
      </c>
      <c r="B78" s="1" t="s">
        <v>74</v>
      </c>
      <c r="C78" s="1" t="s">
        <v>19</v>
      </c>
      <c r="D78" s="1" t="s">
        <v>52</v>
      </c>
      <c r="E78" s="1" t="s">
        <v>21</v>
      </c>
      <c r="F78">
        <v>52</v>
      </c>
      <c r="G78">
        <v>4316.3500000000004</v>
      </c>
      <c r="H78" s="1" t="s">
        <v>35</v>
      </c>
      <c r="I78" s="1" t="s">
        <v>40</v>
      </c>
      <c r="J78" s="2">
        <v>45047</v>
      </c>
      <c r="K78" s="1" t="s">
        <v>26</v>
      </c>
      <c r="L78" s="1">
        <f>IF(Subscriptions[[#This Row],[churned]]="Yes",1,0)</f>
        <v>0</v>
      </c>
      <c r="M78" s="2"/>
      <c r="N78" s="1" t="s">
        <v>30</v>
      </c>
      <c r="O78">
        <v>4</v>
      </c>
      <c r="P78">
        <v>7</v>
      </c>
      <c r="Q78">
        <v>88</v>
      </c>
      <c r="R78" s="1" t="s">
        <v>26</v>
      </c>
    </row>
    <row r="79" spans="1:18" x14ac:dyDescent="0.35">
      <c r="A79" s="1" t="s">
        <v>135</v>
      </c>
      <c r="B79" s="1" t="s">
        <v>32</v>
      </c>
      <c r="C79" s="1" t="s">
        <v>28</v>
      </c>
      <c r="D79" s="1" t="s">
        <v>52</v>
      </c>
      <c r="E79" s="1" t="s">
        <v>21</v>
      </c>
      <c r="F79">
        <v>24</v>
      </c>
      <c r="G79">
        <v>109.69</v>
      </c>
      <c r="H79" s="1" t="s">
        <v>35</v>
      </c>
      <c r="I79" s="1" t="s">
        <v>40</v>
      </c>
      <c r="J79" s="2">
        <v>44978</v>
      </c>
      <c r="K79" s="1" t="s">
        <v>24</v>
      </c>
      <c r="L79" s="1">
        <f>IF(Subscriptions[[#This Row],[churned]]="Yes",1,0)</f>
        <v>1</v>
      </c>
      <c r="M79" s="2">
        <v>45909</v>
      </c>
      <c r="N79" s="1" t="s">
        <v>56</v>
      </c>
      <c r="O79">
        <v>2</v>
      </c>
      <c r="P79">
        <v>4</v>
      </c>
      <c r="Q79">
        <v>16</v>
      </c>
      <c r="R79" s="1" t="s">
        <v>26</v>
      </c>
    </row>
    <row r="80" spans="1:18" x14ac:dyDescent="0.35">
      <c r="A80" s="1" t="s">
        <v>136</v>
      </c>
      <c r="B80" s="1" t="s">
        <v>37</v>
      </c>
      <c r="C80" s="1" t="s">
        <v>19</v>
      </c>
      <c r="D80" s="1" t="s">
        <v>55</v>
      </c>
      <c r="E80" s="1" t="s">
        <v>21</v>
      </c>
      <c r="F80">
        <v>40</v>
      </c>
      <c r="G80">
        <v>1363.15</v>
      </c>
      <c r="H80" s="1" t="s">
        <v>101</v>
      </c>
      <c r="I80" s="1" t="s">
        <v>23</v>
      </c>
      <c r="J80" s="2">
        <v>45297</v>
      </c>
      <c r="K80" s="1" t="s">
        <v>26</v>
      </c>
      <c r="L80" s="1">
        <f>IF(Subscriptions[[#This Row],[churned]]="Yes",1,0)</f>
        <v>0</v>
      </c>
      <c r="M80" s="2"/>
      <c r="N80" s="1" t="s">
        <v>30</v>
      </c>
      <c r="O80">
        <v>0</v>
      </c>
      <c r="P80">
        <v>4</v>
      </c>
      <c r="Q80">
        <v>29</v>
      </c>
      <c r="R80" s="1" t="s">
        <v>26</v>
      </c>
    </row>
    <row r="81" spans="1:18" x14ac:dyDescent="0.35">
      <c r="A81" s="1" t="s">
        <v>137</v>
      </c>
      <c r="B81" s="1" t="s">
        <v>32</v>
      </c>
      <c r="C81" s="1" t="s">
        <v>19</v>
      </c>
      <c r="D81" s="1" t="s">
        <v>55</v>
      </c>
      <c r="E81" s="1" t="s">
        <v>39</v>
      </c>
      <c r="F81">
        <v>5</v>
      </c>
      <c r="G81">
        <v>46.4</v>
      </c>
      <c r="H81" s="1" t="s">
        <v>22</v>
      </c>
      <c r="I81" s="1" t="s">
        <v>58</v>
      </c>
      <c r="J81" s="2">
        <v>45721</v>
      </c>
      <c r="K81" s="1" t="s">
        <v>24</v>
      </c>
      <c r="L81" s="1">
        <f>IF(Subscriptions[[#This Row],[churned]]="Yes",1,0)</f>
        <v>1</v>
      </c>
      <c r="M81" s="2">
        <v>45753</v>
      </c>
      <c r="N81" s="1" t="s">
        <v>66</v>
      </c>
      <c r="O81">
        <v>0</v>
      </c>
      <c r="P81">
        <v>6</v>
      </c>
      <c r="Q81">
        <v>20</v>
      </c>
      <c r="R81" s="1" t="s">
        <v>26</v>
      </c>
    </row>
    <row r="82" spans="1:18" x14ac:dyDescent="0.35">
      <c r="A82" s="1" t="s">
        <v>138</v>
      </c>
      <c r="B82" s="1" t="s">
        <v>37</v>
      </c>
      <c r="C82" s="1" t="s">
        <v>28</v>
      </c>
      <c r="D82" s="1" t="s">
        <v>33</v>
      </c>
      <c r="E82" s="1" t="s">
        <v>39</v>
      </c>
      <c r="F82">
        <v>24</v>
      </c>
      <c r="G82">
        <v>752.72</v>
      </c>
      <c r="H82" s="1" t="s">
        <v>22</v>
      </c>
      <c r="I82" s="1" t="s">
        <v>58</v>
      </c>
      <c r="J82" s="2">
        <v>45308</v>
      </c>
      <c r="K82" s="1" t="s">
        <v>26</v>
      </c>
      <c r="L82" s="1">
        <f>IF(Subscriptions[[#This Row],[churned]]="Yes",1,0)</f>
        <v>0</v>
      </c>
      <c r="M82" s="2"/>
      <c r="N82" s="1" t="s">
        <v>30</v>
      </c>
      <c r="O82">
        <v>2</v>
      </c>
      <c r="P82">
        <v>6</v>
      </c>
      <c r="Q82">
        <v>86</v>
      </c>
      <c r="R82" s="1" t="s">
        <v>26</v>
      </c>
    </row>
    <row r="83" spans="1:18" x14ac:dyDescent="0.35">
      <c r="A83" s="1" t="s">
        <v>139</v>
      </c>
      <c r="B83" s="1" t="s">
        <v>32</v>
      </c>
      <c r="C83" s="1" t="s">
        <v>28</v>
      </c>
      <c r="D83" s="1" t="s">
        <v>44</v>
      </c>
      <c r="E83" s="1" t="s">
        <v>45</v>
      </c>
      <c r="F83">
        <v>1</v>
      </c>
      <c r="G83">
        <v>24.65</v>
      </c>
      <c r="H83" s="1" t="s">
        <v>101</v>
      </c>
      <c r="I83" s="1" t="s">
        <v>40</v>
      </c>
      <c r="J83" s="2">
        <v>45462</v>
      </c>
      <c r="K83" s="1" t="s">
        <v>24</v>
      </c>
      <c r="L83" s="1">
        <f>IF(Subscriptions[[#This Row],[churned]]="Yes",1,0)</f>
        <v>1</v>
      </c>
      <c r="M83" s="2">
        <v>45812</v>
      </c>
      <c r="N83" s="1" t="s">
        <v>56</v>
      </c>
      <c r="O83">
        <v>14</v>
      </c>
      <c r="P83">
        <v>2</v>
      </c>
      <c r="Q83">
        <v>22</v>
      </c>
      <c r="R83" s="1" t="s">
        <v>26</v>
      </c>
    </row>
    <row r="84" spans="1:18" x14ac:dyDescent="0.35">
      <c r="A84" s="1" t="s">
        <v>140</v>
      </c>
      <c r="B84" s="1" t="s">
        <v>18</v>
      </c>
      <c r="C84" s="1" t="s">
        <v>19</v>
      </c>
      <c r="D84" s="1" t="s">
        <v>65</v>
      </c>
      <c r="E84" s="1" t="s">
        <v>45</v>
      </c>
      <c r="F84">
        <v>5</v>
      </c>
      <c r="G84">
        <v>126.4</v>
      </c>
      <c r="H84" s="1" t="s">
        <v>63</v>
      </c>
      <c r="I84" s="1" t="s">
        <v>58</v>
      </c>
      <c r="J84" s="2">
        <v>45912</v>
      </c>
      <c r="K84" s="1" t="s">
        <v>26</v>
      </c>
      <c r="L84" s="1">
        <f>IF(Subscriptions[[#This Row],[churned]]="Yes",1,0)</f>
        <v>0</v>
      </c>
      <c r="M84" s="2"/>
      <c r="N84" s="1" t="s">
        <v>30</v>
      </c>
      <c r="O84">
        <v>6</v>
      </c>
      <c r="P84">
        <v>9</v>
      </c>
      <c r="Q84">
        <v>56</v>
      </c>
      <c r="R84" s="1" t="s">
        <v>26</v>
      </c>
    </row>
    <row r="85" spans="1:18" x14ac:dyDescent="0.35">
      <c r="A85" s="1" t="s">
        <v>141</v>
      </c>
      <c r="B85" s="1" t="s">
        <v>37</v>
      </c>
      <c r="C85" s="1" t="s">
        <v>19</v>
      </c>
      <c r="D85" s="1" t="s">
        <v>38</v>
      </c>
      <c r="E85" s="1" t="s">
        <v>48</v>
      </c>
      <c r="F85">
        <v>71</v>
      </c>
      <c r="G85">
        <v>2288.5</v>
      </c>
      <c r="H85" s="1" t="s">
        <v>46</v>
      </c>
      <c r="I85" s="1" t="s">
        <v>40</v>
      </c>
      <c r="J85" s="2">
        <v>44947</v>
      </c>
      <c r="K85" s="1" t="s">
        <v>24</v>
      </c>
      <c r="L85" s="1">
        <f>IF(Subscriptions[[#This Row],[churned]]="Yes",1,0)</f>
        <v>1</v>
      </c>
      <c r="M85" s="2">
        <v>45308</v>
      </c>
      <c r="N85" s="1" t="s">
        <v>85</v>
      </c>
      <c r="O85">
        <v>6</v>
      </c>
      <c r="P85">
        <v>5</v>
      </c>
      <c r="Q85">
        <v>29</v>
      </c>
      <c r="R85" s="1" t="s">
        <v>26</v>
      </c>
    </row>
    <row r="86" spans="1:18" x14ac:dyDescent="0.35">
      <c r="A86" s="1" t="s">
        <v>142</v>
      </c>
      <c r="B86" s="1" t="s">
        <v>32</v>
      </c>
      <c r="C86" s="1" t="s">
        <v>19</v>
      </c>
      <c r="D86" s="1" t="s">
        <v>38</v>
      </c>
      <c r="E86" s="1" t="s">
        <v>39</v>
      </c>
      <c r="F86">
        <v>21</v>
      </c>
      <c r="G86">
        <v>116</v>
      </c>
      <c r="H86" s="1" t="s">
        <v>35</v>
      </c>
      <c r="I86" s="1" t="s">
        <v>72</v>
      </c>
      <c r="J86" s="2">
        <v>45661</v>
      </c>
      <c r="K86" s="1" t="s">
        <v>24</v>
      </c>
      <c r="L86" s="1">
        <f>IF(Subscriptions[[#This Row],[churned]]="Yes",1,0)</f>
        <v>1</v>
      </c>
      <c r="M86" s="2">
        <v>45730</v>
      </c>
      <c r="N86" s="1" t="s">
        <v>59</v>
      </c>
      <c r="O86">
        <v>13</v>
      </c>
      <c r="P86">
        <v>2</v>
      </c>
      <c r="Q86">
        <v>42</v>
      </c>
      <c r="R86" s="1" t="s">
        <v>26</v>
      </c>
    </row>
    <row r="87" spans="1:18" x14ac:dyDescent="0.35">
      <c r="A87" s="1" t="s">
        <v>143</v>
      </c>
      <c r="B87" s="1" t="s">
        <v>37</v>
      </c>
      <c r="C87" s="1" t="s">
        <v>19</v>
      </c>
      <c r="D87" s="1" t="s">
        <v>44</v>
      </c>
      <c r="E87" s="1" t="s">
        <v>39</v>
      </c>
      <c r="F87">
        <v>27</v>
      </c>
      <c r="G87">
        <v>975.1</v>
      </c>
      <c r="H87" s="1" t="s">
        <v>35</v>
      </c>
      <c r="I87" s="1" t="s">
        <v>40</v>
      </c>
      <c r="J87" s="2">
        <v>45479</v>
      </c>
      <c r="K87" s="1" t="s">
        <v>26</v>
      </c>
      <c r="L87" s="1">
        <f>IF(Subscriptions[[#This Row],[churned]]="Yes",1,0)</f>
        <v>0</v>
      </c>
      <c r="M87" s="2"/>
      <c r="N87" s="1" t="s">
        <v>30</v>
      </c>
      <c r="O87">
        <v>9</v>
      </c>
      <c r="P87">
        <v>7</v>
      </c>
      <c r="Q87">
        <v>35</v>
      </c>
      <c r="R87" s="1" t="s">
        <v>26</v>
      </c>
    </row>
    <row r="88" spans="1:18" x14ac:dyDescent="0.35">
      <c r="A88" s="1" t="s">
        <v>144</v>
      </c>
      <c r="B88" s="1" t="s">
        <v>18</v>
      </c>
      <c r="C88" s="1" t="s">
        <v>28</v>
      </c>
      <c r="D88" s="1" t="s">
        <v>65</v>
      </c>
      <c r="E88" s="1" t="s">
        <v>21</v>
      </c>
      <c r="F88">
        <v>17</v>
      </c>
      <c r="G88">
        <v>228.31</v>
      </c>
      <c r="H88" s="1" t="s">
        <v>29</v>
      </c>
      <c r="I88" s="1" t="s">
        <v>40</v>
      </c>
      <c r="J88" s="2">
        <v>45421</v>
      </c>
      <c r="K88" s="1" t="s">
        <v>26</v>
      </c>
      <c r="L88" s="1">
        <f>IF(Subscriptions[[#This Row],[churned]]="Yes",1,0)</f>
        <v>0</v>
      </c>
      <c r="M88" s="2"/>
      <c r="N88" s="1" t="s">
        <v>30</v>
      </c>
      <c r="O88">
        <v>2</v>
      </c>
      <c r="P88">
        <v>4</v>
      </c>
      <c r="Q88">
        <v>88</v>
      </c>
      <c r="R88" s="1" t="s">
        <v>26</v>
      </c>
    </row>
    <row r="89" spans="1:18" x14ac:dyDescent="0.35">
      <c r="A89" s="1" t="s">
        <v>145</v>
      </c>
      <c r="B89" s="1" t="s">
        <v>32</v>
      </c>
      <c r="C89" s="1" t="s">
        <v>19</v>
      </c>
      <c r="D89" s="1" t="s">
        <v>82</v>
      </c>
      <c r="E89" s="1" t="s">
        <v>21</v>
      </c>
      <c r="F89">
        <v>76</v>
      </c>
      <c r="G89">
        <v>355.25</v>
      </c>
      <c r="H89" s="1" t="s">
        <v>46</v>
      </c>
      <c r="I89" s="1" t="s">
        <v>58</v>
      </c>
      <c r="J89" s="2">
        <v>45641</v>
      </c>
      <c r="K89" s="1" t="s">
        <v>24</v>
      </c>
      <c r="L89" s="1">
        <f>IF(Subscriptions[[#This Row],[churned]]="Yes",1,0)</f>
        <v>1</v>
      </c>
      <c r="M89" s="2">
        <v>45806</v>
      </c>
      <c r="N89" s="1" t="s">
        <v>56</v>
      </c>
      <c r="O89">
        <v>7</v>
      </c>
      <c r="P89">
        <v>3</v>
      </c>
      <c r="Q89">
        <v>20</v>
      </c>
      <c r="R89" s="1" t="s">
        <v>26</v>
      </c>
    </row>
    <row r="90" spans="1:18" x14ac:dyDescent="0.35">
      <c r="A90" s="1" t="s">
        <v>146</v>
      </c>
      <c r="B90" s="1" t="s">
        <v>18</v>
      </c>
      <c r="C90" s="1" t="s">
        <v>28</v>
      </c>
      <c r="D90" s="1" t="s">
        <v>55</v>
      </c>
      <c r="E90" s="1" t="s">
        <v>48</v>
      </c>
      <c r="F90">
        <v>75</v>
      </c>
      <c r="G90">
        <v>812.51</v>
      </c>
      <c r="H90" s="1" t="s">
        <v>22</v>
      </c>
      <c r="I90" s="1" t="s">
        <v>58</v>
      </c>
      <c r="J90" s="2">
        <v>44886</v>
      </c>
      <c r="K90" s="1" t="s">
        <v>24</v>
      </c>
      <c r="L90" s="1">
        <f>IF(Subscriptions[[#This Row],[churned]]="Yes",1,0)</f>
        <v>1</v>
      </c>
      <c r="M90" s="2">
        <v>45200</v>
      </c>
      <c r="N90" s="1" t="s">
        <v>49</v>
      </c>
      <c r="O90">
        <v>12</v>
      </c>
      <c r="P90">
        <v>6</v>
      </c>
      <c r="Q90">
        <v>20</v>
      </c>
      <c r="R90" s="1" t="s">
        <v>26</v>
      </c>
    </row>
    <row r="91" spans="1:18" x14ac:dyDescent="0.35">
      <c r="A91" s="1" t="s">
        <v>147</v>
      </c>
      <c r="B91" s="1" t="s">
        <v>37</v>
      </c>
      <c r="C91" s="1" t="s">
        <v>28</v>
      </c>
      <c r="D91" s="1" t="s">
        <v>55</v>
      </c>
      <c r="E91" s="1" t="s">
        <v>21</v>
      </c>
      <c r="F91">
        <v>67</v>
      </c>
      <c r="G91">
        <v>1843.73</v>
      </c>
      <c r="H91" s="1" t="s">
        <v>63</v>
      </c>
      <c r="I91" s="1" t="s">
        <v>40</v>
      </c>
      <c r="J91" s="2">
        <v>44648</v>
      </c>
      <c r="K91" s="1" t="s">
        <v>24</v>
      </c>
      <c r="L91" s="1">
        <f>IF(Subscriptions[[#This Row],[churned]]="Yes",1,0)</f>
        <v>1</v>
      </c>
      <c r="M91" s="2">
        <v>44885</v>
      </c>
      <c r="N91" s="1" t="s">
        <v>53</v>
      </c>
      <c r="O91">
        <v>7</v>
      </c>
      <c r="P91">
        <v>1</v>
      </c>
      <c r="Q91">
        <v>36</v>
      </c>
      <c r="R91" s="1" t="s">
        <v>26</v>
      </c>
    </row>
    <row r="92" spans="1:18" x14ac:dyDescent="0.35">
      <c r="A92" s="1" t="s">
        <v>148</v>
      </c>
      <c r="B92" s="1" t="s">
        <v>74</v>
      </c>
      <c r="C92" s="1" t="s">
        <v>28</v>
      </c>
      <c r="D92" s="1" t="s">
        <v>52</v>
      </c>
      <c r="E92" s="1" t="s">
        <v>39</v>
      </c>
      <c r="F92">
        <v>20</v>
      </c>
      <c r="G92">
        <v>1632.98</v>
      </c>
      <c r="H92" s="1" t="s">
        <v>46</v>
      </c>
      <c r="I92" s="1" t="s">
        <v>23</v>
      </c>
      <c r="J92" s="2">
        <v>45596</v>
      </c>
      <c r="K92" s="1" t="s">
        <v>24</v>
      </c>
      <c r="L92" s="1">
        <f>IF(Subscriptions[[#This Row],[churned]]="Yes",1,0)</f>
        <v>1</v>
      </c>
      <c r="M92" s="2">
        <v>45710</v>
      </c>
      <c r="N92" s="1" t="s">
        <v>59</v>
      </c>
      <c r="O92">
        <v>13</v>
      </c>
      <c r="P92">
        <v>2</v>
      </c>
      <c r="Q92">
        <v>42</v>
      </c>
      <c r="R92" s="1" t="s">
        <v>26</v>
      </c>
    </row>
    <row r="93" spans="1:18" x14ac:dyDescent="0.35">
      <c r="A93" s="1" t="s">
        <v>149</v>
      </c>
      <c r="B93" s="1" t="s">
        <v>32</v>
      </c>
      <c r="C93" s="1" t="s">
        <v>19</v>
      </c>
      <c r="D93" s="1" t="s">
        <v>82</v>
      </c>
      <c r="E93" s="1" t="s">
        <v>45</v>
      </c>
      <c r="F93">
        <v>5</v>
      </c>
      <c r="G93">
        <v>46.4</v>
      </c>
      <c r="H93" s="1" t="s">
        <v>35</v>
      </c>
      <c r="I93" s="1" t="s">
        <v>58</v>
      </c>
      <c r="J93" s="2">
        <v>45732</v>
      </c>
      <c r="K93" s="1" t="s">
        <v>26</v>
      </c>
      <c r="L93" s="1">
        <f>IF(Subscriptions[[#This Row],[churned]]="Yes",1,0)</f>
        <v>0</v>
      </c>
      <c r="M93" s="2"/>
      <c r="N93" s="1" t="s">
        <v>30</v>
      </c>
      <c r="O93">
        <v>7</v>
      </c>
      <c r="P93">
        <v>7</v>
      </c>
      <c r="Q93">
        <v>41</v>
      </c>
      <c r="R93" s="1" t="s">
        <v>26</v>
      </c>
    </row>
    <row r="94" spans="1:18" x14ac:dyDescent="0.35">
      <c r="A94" s="1" t="s">
        <v>150</v>
      </c>
      <c r="B94" s="1" t="s">
        <v>32</v>
      </c>
      <c r="C94" s="1" t="s">
        <v>19</v>
      </c>
      <c r="D94" s="1" t="s">
        <v>42</v>
      </c>
      <c r="E94" s="1" t="s">
        <v>45</v>
      </c>
      <c r="F94">
        <v>7</v>
      </c>
      <c r="G94">
        <v>55.1</v>
      </c>
      <c r="H94" s="1" t="s">
        <v>29</v>
      </c>
      <c r="I94" s="1" t="s">
        <v>23</v>
      </c>
      <c r="J94" s="2">
        <v>45960</v>
      </c>
      <c r="K94" s="1" t="s">
        <v>26</v>
      </c>
      <c r="L94" s="1">
        <f>IF(Subscriptions[[#This Row],[churned]]="Yes",1,0)</f>
        <v>0</v>
      </c>
      <c r="M94" s="2"/>
      <c r="N94" s="1" t="s">
        <v>30</v>
      </c>
      <c r="O94">
        <v>2</v>
      </c>
      <c r="P94">
        <v>10</v>
      </c>
      <c r="Q94">
        <v>63</v>
      </c>
      <c r="R94" s="1" t="s">
        <v>26</v>
      </c>
    </row>
    <row r="95" spans="1:18" x14ac:dyDescent="0.35">
      <c r="A95" s="1" t="s">
        <v>151</v>
      </c>
      <c r="B95" s="1" t="s">
        <v>37</v>
      </c>
      <c r="C95" s="1" t="s">
        <v>19</v>
      </c>
      <c r="D95" s="1" t="s">
        <v>65</v>
      </c>
      <c r="E95" s="1" t="s">
        <v>34</v>
      </c>
      <c r="F95">
        <v>234</v>
      </c>
      <c r="G95">
        <v>7154.05</v>
      </c>
      <c r="H95" s="1" t="s">
        <v>35</v>
      </c>
      <c r="I95" s="1" t="s">
        <v>23</v>
      </c>
      <c r="J95" s="2">
        <v>44771</v>
      </c>
      <c r="K95" s="1" t="s">
        <v>24</v>
      </c>
      <c r="L95" s="1">
        <f>IF(Subscriptions[[#This Row],[churned]]="Yes",1,0)</f>
        <v>1</v>
      </c>
      <c r="M95" s="2">
        <v>45930</v>
      </c>
      <c r="N95" s="1" t="s">
        <v>49</v>
      </c>
      <c r="O95">
        <v>4</v>
      </c>
      <c r="P95">
        <v>6</v>
      </c>
      <c r="Q95">
        <v>14</v>
      </c>
      <c r="R95" s="1" t="s">
        <v>26</v>
      </c>
    </row>
    <row r="96" spans="1:18" x14ac:dyDescent="0.35">
      <c r="A96" s="1" t="s">
        <v>152</v>
      </c>
      <c r="B96" s="1" t="s">
        <v>18</v>
      </c>
      <c r="C96" s="1" t="s">
        <v>19</v>
      </c>
      <c r="D96" s="1" t="s">
        <v>33</v>
      </c>
      <c r="E96" s="1" t="s">
        <v>39</v>
      </c>
      <c r="F96">
        <v>14</v>
      </c>
      <c r="G96">
        <v>233.05</v>
      </c>
      <c r="H96" s="1" t="s">
        <v>63</v>
      </c>
      <c r="I96" s="1" t="s">
        <v>23</v>
      </c>
      <c r="J96" s="2">
        <v>44859</v>
      </c>
      <c r="K96" s="1" t="s">
        <v>24</v>
      </c>
      <c r="L96" s="1">
        <f>IF(Subscriptions[[#This Row],[churned]]="Yes",1,0)</f>
        <v>1</v>
      </c>
      <c r="M96" s="2">
        <v>45025</v>
      </c>
      <c r="N96" s="1" t="s">
        <v>56</v>
      </c>
      <c r="O96">
        <v>5</v>
      </c>
      <c r="P96">
        <v>6</v>
      </c>
      <c r="Q96">
        <v>11</v>
      </c>
      <c r="R96" s="1" t="s">
        <v>26</v>
      </c>
    </row>
    <row r="97" spans="1:18" x14ac:dyDescent="0.35">
      <c r="A97" s="1" t="s">
        <v>153</v>
      </c>
      <c r="B97" s="1" t="s">
        <v>32</v>
      </c>
      <c r="C97" s="1" t="s">
        <v>19</v>
      </c>
      <c r="D97" s="1" t="s">
        <v>71</v>
      </c>
      <c r="E97" s="1" t="s">
        <v>39</v>
      </c>
      <c r="F97">
        <v>15</v>
      </c>
      <c r="G97">
        <v>89.9</v>
      </c>
      <c r="H97" s="1" t="s">
        <v>29</v>
      </c>
      <c r="I97" s="1" t="s">
        <v>23</v>
      </c>
      <c r="J97" s="2">
        <v>45169</v>
      </c>
      <c r="K97" s="1" t="s">
        <v>24</v>
      </c>
      <c r="L97" s="1">
        <f>IF(Subscriptions[[#This Row],[churned]]="Yes",1,0)</f>
        <v>1</v>
      </c>
      <c r="M97" s="2">
        <v>45195</v>
      </c>
      <c r="N97" s="1" t="s">
        <v>25</v>
      </c>
      <c r="O97">
        <v>12</v>
      </c>
      <c r="P97">
        <v>1</v>
      </c>
      <c r="Q97">
        <v>12</v>
      </c>
      <c r="R97" s="1" t="s">
        <v>26</v>
      </c>
    </row>
    <row r="98" spans="1:18" x14ac:dyDescent="0.35">
      <c r="A98" s="1" t="s">
        <v>154</v>
      </c>
      <c r="B98" s="1" t="s">
        <v>74</v>
      </c>
      <c r="C98" s="1" t="s">
        <v>19</v>
      </c>
      <c r="D98" s="1" t="s">
        <v>65</v>
      </c>
      <c r="E98" s="1" t="s">
        <v>21</v>
      </c>
      <c r="F98">
        <v>31</v>
      </c>
      <c r="G98">
        <v>2744.5</v>
      </c>
      <c r="H98" s="1" t="s">
        <v>22</v>
      </c>
      <c r="I98" s="1" t="s">
        <v>23</v>
      </c>
      <c r="J98" s="2">
        <v>45215</v>
      </c>
      <c r="K98" s="1" t="s">
        <v>26</v>
      </c>
      <c r="L98" s="1">
        <f>IF(Subscriptions[[#This Row],[churned]]="Yes",1,0)</f>
        <v>0</v>
      </c>
      <c r="M98" s="2"/>
      <c r="N98" s="1" t="s">
        <v>30</v>
      </c>
      <c r="O98">
        <v>1</v>
      </c>
      <c r="P98">
        <v>1</v>
      </c>
      <c r="Q98">
        <v>22</v>
      </c>
      <c r="R98" s="1" t="s">
        <v>26</v>
      </c>
    </row>
    <row r="99" spans="1:18" x14ac:dyDescent="0.35">
      <c r="A99" s="1" t="s">
        <v>155</v>
      </c>
      <c r="B99" s="1" t="s">
        <v>18</v>
      </c>
      <c r="C99" s="1" t="s">
        <v>28</v>
      </c>
      <c r="D99" s="1" t="s">
        <v>82</v>
      </c>
      <c r="E99" s="1" t="s">
        <v>45</v>
      </c>
      <c r="F99">
        <v>8</v>
      </c>
      <c r="G99">
        <v>137.66</v>
      </c>
      <c r="H99" s="1" t="s">
        <v>22</v>
      </c>
      <c r="I99" s="1" t="s">
        <v>23</v>
      </c>
      <c r="J99" s="2">
        <v>45989</v>
      </c>
      <c r="K99" s="1" t="s">
        <v>24</v>
      </c>
      <c r="L99" s="1">
        <f>IF(Subscriptions[[#This Row],[churned]]="Yes",1,0)</f>
        <v>1</v>
      </c>
      <c r="M99" s="2">
        <v>46005</v>
      </c>
      <c r="N99" s="1" t="s">
        <v>59</v>
      </c>
      <c r="O99">
        <v>10</v>
      </c>
      <c r="P99">
        <v>6</v>
      </c>
      <c r="Q99">
        <v>43</v>
      </c>
      <c r="R99" s="1" t="s">
        <v>26</v>
      </c>
    </row>
    <row r="100" spans="1:18" x14ac:dyDescent="0.35">
      <c r="A100" s="1" t="s">
        <v>156</v>
      </c>
      <c r="B100" s="1" t="s">
        <v>74</v>
      </c>
      <c r="C100" s="1" t="s">
        <v>19</v>
      </c>
      <c r="D100" s="1" t="s">
        <v>42</v>
      </c>
      <c r="E100" s="1" t="s">
        <v>39</v>
      </c>
      <c r="F100">
        <v>6</v>
      </c>
      <c r="G100">
        <v>873.25</v>
      </c>
      <c r="H100" s="1" t="s">
        <v>22</v>
      </c>
      <c r="I100" s="1" t="s">
        <v>58</v>
      </c>
      <c r="J100" s="2">
        <v>44792</v>
      </c>
      <c r="K100" s="1" t="s">
        <v>26</v>
      </c>
      <c r="L100" s="1">
        <f>IF(Subscriptions[[#This Row],[churned]]="Yes",1,0)</f>
        <v>0</v>
      </c>
      <c r="M100" s="2"/>
      <c r="N100" s="1" t="s">
        <v>30</v>
      </c>
      <c r="O100">
        <v>3</v>
      </c>
      <c r="P100">
        <v>4</v>
      </c>
      <c r="Q100">
        <v>70</v>
      </c>
      <c r="R100" s="1" t="s">
        <v>26</v>
      </c>
    </row>
    <row r="101" spans="1:18" x14ac:dyDescent="0.35">
      <c r="A101" s="1" t="s">
        <v>157</v>
      </c>
      <c r="B101" s="1" t="s">
        <v>37</v>
      </c>
      <c r="C101" s="1" t="s">
        <v>19</v>
      </c>
      <c r="D101" s="1" t="s">
        <v>38</v>
      </c>
      <c r="E101" s="1" t="s">
        <v>39</v>
      </c>
      <c r="F101">
        <v>17</v>
      </c>
      <c r="G101">
        <v>676.6</v>
      </c>
      <c r="H101" s="1" t="s">
        <v>63</v>
      </c>
      <c r="I101" s="1" t="s">
        <v>40</v>
      </c>
      <c r="J101" s="2">
        <v>45088</v>
      </c>
      <c r="K101" s="1" t="s">
        <v>26</v>
      </c>
      <c r="L101" s="1">
        <f>IF(Subscriptions[[#This Row],[churned]]="Yes",1,0)</f>
        <v>0</v>
      </c>
      <c r="M101" s="2"/>
      <c r="N101" s="1" t="s">
        <v>30</v>
      </c>
      <c r="O101">
        <v>1</v>
      </c>
      <c r="P101">
        <v>4</v>
      </c>
      <c r="Q101">
        <v>17</v>
      </c>
      <c r="R101" s="1" t="s">
        <v>26</v>
      </c>
    </row>
    <row r="102" spans="1:18" x14ac:dyDescent="0.35">
      <c r="A102" s="1" t="s">
        <v>158</v>
      </c>
      <c r="B102" s="1" t="s">
        <v>32</v>
      </c>
      <c r="C102" s="1" t="s">
        <v>19</v>
      </c>
      <c r="D102" s="1" t="s">
        <v>71</v>
      </c>
      <c r="E102" s="1" t="s">
        <v>45</v>
      </c>
      <c r="F102">
        <v>2</v>
      </c>
      <c r="G102">
        <v>33.35</v>
      </c>
      <c r="H102" s="1" t="s">
        <v>22</v>
      </c>
      <c r="I102" s="1" t="s">
        <v>23</v>
      </c>
      <c r="J102" s="2">
        <v>45629</v>
      </c>
      <c r="K102" s="1" t="s">
        <v>24</v>
      </c>
      <c r="L102" s="1">
        <f>IF(Subscriptions[[#This Row],[churned]]="Yes",1,0)</f>
        <v>1</v>
      </c>
      <c r="M102" s="2">
        <v>45685</v>
      </c>
      <c r="N102" s="1" t="s">
        <v>59</v>
      </c>
      <c r="O102">
        <v>6</v>
      </c>
      <c r="P102">
        <v>3</v>
      </c>
      <c r="Q102">
        <v>15</v>
      </c>
      <c r="R102" s="1" t="s">
        <v>26</v>
      </c>
    </row>
    <row r="103" spans="1:18" x14ac:dyDescent="0.35">
      <c r="A103" s="1" t="s">
        <v>159</v>
      </c>
      <c r="B103" s="1" t="s">
        <v>18</v>
      </c>
      <c r="C103" s="1" t="s">
        <v>19</v>
      </c>
      <c r="D103" s="1" t="s">
        <v>82</v>
      </c>
      <c r="E103" s="1" t="s">
        <v>34</v>
      </c>
      <c r="F103">
        <v>62</v>
      </c>
      <c r="G103">
        <v>801.85</v>
      </c>
      <c r="H103" s="1" t="s">
        <v>46</v>
      </c>
      <c r="I103" s="1" t="s">
        <v>72</v>
      </c>
      <c r="J103" s="2">
        <v>45233</v>
      </c>
      <c r="K103" s="1" t="s">
        <v>26</v>
      </c>
      <c r="L103" s="1">
        <f>IF(Subscriptions[[#This Row],[churned]]="Yes",1,0)</f>
        <v>0</v>
      </c>
      <c r="M103" s="2"/>
      <c r="N103" s="1" t="s">
        <v>30</v>
      </c>
      <c r="O103">
        <v>11</v>
      </c>
      <c r="P103">
        <v>7</v>
      </c>
      <c r="Q103">
        <v>88</v>
      </c>
      <c r="R103" s="1" t="s">
        <v>26</v>
      </c>
    </row>
    <row r="104" spans="1:18" x14ac:dyDescent="0.35">
      <c r="A104" s="1" t="s">
        <v>160</v>
      </c>
      <c r="B104" s="1" t="s">
        <v>18</v>
      </c>
      <c r="C104" s="1" t="s">
        <v>19</v>
      </c>
      <c r="D104" s="1" t="s">
        <v>82</v>
      </c>
      <c r="E104" s="1" t="s">
        <v>45</v>
      </c>
      <c r="F104">
        <v>4</v>
      </c>
      <c r="G104">
        <v>114.55</v>
      </c>
      <c r="H104" s="1" t="s">
        <v>101</v>
      </c>
      <c r="I104" s="1" t="s">
        <v>40</v>
      </c>
      <c r="J104" s="2">
        <v>45406</v>
      </c>
      <c r="K104" s="1" t="s">
        <v>26</v>
      </c>
      <c r="L104" s="1">
        <f>IF(Subscriptions[[#This Row],[churned]]="Yes",1,0)</f>
        <v>0</v>
      </c>
      <c r="M104" s="2"/>
      <c r="N104" s="1" t="s">
        <v>30</v>
      </c>
      <c r="O104">
        <v>0</v>
      </c>
      <c r="P104">
        <v>6</v>
      </c>
      <c r="Q104">
        <v>32</v>
      </c>
      <c r="R104" s="1" t="s">
        <v>26</v>
      </c>
    </row>
    <row r="105" spans="1:18" x14ac:dyDescent="0.35">
      <c r="A105" s="1" t="s">
        <v>161</v>
      </c>
      <c r="B105" s="1" t="s">
        <v>37</v>
      </c>
      <c r="C105" s="1" t="s">
        <v>19</v>
      </c>
      <c r="D105" s="1" t="s">
        <v>65</v>
      </c>
      <c r="E105" s="1" t="s">
        <v>39</v>
      </c>
      <c r="F105">
        <v>17</v>
      </c>
      <c r="G105">
        <v>676.6</v>
      </c>
      <c r="H105" s="1" t="s">
        <v>22</v>
      </c>
      <c r="I105" s="1" t="s">
        <v>40</v>
      </c>
      <c r="J105" s="2">
        <v>45626</v>
      </c>
      <c r="K105" s="1" t="s">
        <v>24</v>
      </c>
      <c r="L105" s="1">
        <f>IF(Subscriptions[[#This Row],[churned]]="Yes",1,0)</f>
        <v>1</v>
      </c>
      <c r="M105" s="2">
        <v>45808</v>
      </c>
      <c r="N105" s="1" t="s">
        <v>56</v>
      </c>
      <c r="O105">
        <v>12</v>
      </c>
      <c r="P105">
        <v>1</v>
      </c>
      <c r="Q105">
        <v>30</v>
      </c>
      <c r="R105" s="1" t="s">
        <v>26</v>
      </c>
    </row>
    <row r="106" spans="1:18" x14ac:dyDescent="0.35">
      <c r="A106" s="1" t="s">
        <v>162</v>
      </c>
      <c r="B106" s="1" t="s">
        <v>18</v>
      </c>
      <c r="C106" s="1" t="s">
        <v>19</v>
      </c>
      <c r="D106" s="1" t="s">
        <v>42</v>
      </c>
      <c r="E106" s="1" t="s">
        <v>48</v>
      </c>
      <c r="F106">
        <v>42</v>
      </c>
      <c r="G106">
        <v>564.85</v>
      </c>
      <c r="H106" s="1" t="s">
        <v>63</v>
      </c>
      <c r="I106" s="1" t="s">
        <v>72</v>
      </c>
      <c r="J106" s="2">
        <v>45281</v>
      </c>
      <c r="K106" s="1" t="s">
        <v>26</v>
      </c>
      <c r="L106" s="1">
        <f>IF(Subscriptions[[#This Row],[churned]]="Yes",1,0)</f>
        <v>0</v>
      </c>
      <c r="M106" s="2"/>
      <c r="N106" s="1" t="s">
        <v>30</v>
      </c>
      <c r="O106">
        <v>6</v>
      </c>
      <c r="P106">
        <v>5</v>
      </c>
      <c r="Q106">
        <v>53</v>
      </c>
      <c r="R106" s="1" t="s">
        <v>24</v>
      </c>
    </row>
    <row r="107" spans="1:18" x14ac:dyDescent="0.35">
      <c r="A107" s="1" t="s">
        <v>163</v>
      </c>
      <c r="B107" s="1" t="s">
        <v>32</v>
      </c>
      <c r="C107" s="1" t="s">
        <v>19</v>
      </c>
      <c r="D107" s="1" t="s">
        <v>20</v>
      </c>
      <c r="E107" s="1" t="s">
        <v>45</v>
      </c>
      <c r="F107">
        <v>1</v>
      </c>
      <c r="G107">
        <v>29</v>
      </c>
      <c r="H107" s="1" t="s">
        <v>46</v>
      </c>
      <c r="I107" s="1" t="s">
        <v>58</v>
      </c>
      <c r="J107" s="2">
        <v>45614</v>
      </c>
      <c r="K107" s="1" t="s">
        <v>24</v>
      </c>
      <c r="L107" s="1">
        <f>IF(Subscriptions[[#This Row],[churned]]="Yes",1,0)</f>
        <v>1</v>
      </c>
      <c r="M107" s="2">
        <v>45712</v>
      </c>
      <c r="N107" s="1" t="s">
        <v>49</v>
      </c>
      <c r="O107">
        <v>4</v>
      </c>
      <c r="P107">
        <v>3</v>
      </c>
      <c r="Q107">
        <v>20</v>
      </c>
      <c r="R107" s="1" t="s">
        <v>26</v>
      </c>
    </row>
    <row r="108" spans="1:18" x14ac:dyDescent="0.35">
      <c r="A108" s="1" t="s">
        <v>164</v>
      </c>
      <c r="B108" s="1" t="s">
        <v>37</v>
      </c>
      <c r="C108" s="1" t="s">
        <v>19</v>
      </c>
      <c r="D108" s="1" t="s">
        <v>71</v>
      </c>
      <c r="E108" s="1" t="s">
        <v>34</v>
      </c>
      <c r="F108">
        <v>139</v>
      </c>
      <c r="G108">
        <v>4318.3</v>
      </c>
      <c r="H108" s="1" t="s">
        <v>46</v>
      </c>
      <c r="I108" s="1" t="s">
        <v>40</v>
      </c>
      <c r="J108" s="2">
        <v>44791</v>
      </c>
      <c r="K108" s="1" t="s">
        <v>24</v>
      </c>
      <c r="L108" s="1">
        <f>IF(Subscriptions[[#This Row],[churned]]="Yes",1,0)</f>
        <v>1</v>
      </c>
      <c r="M108" s="2">
        <v>45421</v>
      </c>
      <c r="N108" s="1" t="s">
        <v>66</v>
      </c>
      <c r="O108">
        <v>11</v>
      </c>
      <c r="P108">
        <v>2</v>
      </c>
      <c r="Q108">
        <v>24</v>
      </c>
      <c r="R108" s="1" t="s">
        <v>26</v>
      </c>
    </row>
    <row r="109" spans="1:18" x14ac:dyDescent="0.35">
      <c r="A109" s="1" t="s">
        <v>165</v>
      </c>
      <c r="B109" s="1" t="s">
        <v>37</v>
      </c>
      <c r="C109" s="1" t="s">
        <v>28</v>
      </c>
      <c r="D109" s="1" t="s">
        <v>82</v>
      </c>
      <c r="E109" s="1" t="s">
        <v>21</v>
      </c>
      <c r="F109">
        <v>30</v>
      </c>
      <c r="G109">
        <v>904.95</v>
      </c>
      <c r="H109" s="1" t="s">
        <v>22</v>
      </c>
      <c r="I109" s="1" t="s">
        <v>23</v>
      </c>
      <c r="J109" s="2">
        <v>45885</v>
      </c>
      <c r="K109" s="1" t="s">
        <v>26</v>
      </c>
      <c r="L109" s="1">
        <f>IF(Subscriptions[[#This Row],[churned]]="Yes",1,0)</f>
        <v>0</v>
      </c>
      <c r="M109" s="2"/>
      <c r="N109" s="1" t="s">
        <v>30</v>
      </c>
      <c r="O109">
        <v>11</v>
      </c>
      <c r="P109">
        <v>5</v>
      </c>
      <c r="Q109">
        <v>48</v>
      </c>
      <c r="R109" s="1" t="s">
        <v>26</v>
      </c>
    </row>
    <row r="110" spans="1:18" x14ac:dyDescent="0.35">
      <c r="A110" s="1" t="s">
        <v>166</v>
      </c>
      <c r="B110" s="1" t="s">
        <v>37</v>
      </c>
      <c r="C110" s="1" t="s">
        <v>28</v>
      </c>
      <c r="D110" s="1" t="s">
        <v>33</v>
      </c>
      <c r="E110" s="1" t="s">
        <v>21</v>
      </c>
      <c r="F110">
        <v>16</v>
      </c>
      <c r="G110">
        <v>549.74</v>
      </c>
      <c r="H110" s="1" t="s">
        <v>22</v>
      </c>
      <c r="I110" s="1" t="s">
        <v>58</v>
      </c>
      <c r="J110" s="2">
        <v>44868</v>
      </c>
      <c r="K110" s="1" t="s">
        <v>26</v>
      </c>
      <c r="L110" s="1">
        <f>IF(Subscriptions[[#This Row],[churned]]="Yes",1,0)</f>
        <v>0</v>
      </c>
      <c r="M110" s="2"/>
      <c r="N110" s="1" t="s">
        <v>30</v>
      </c>
      <c r="O110">
        <v>0</v>
      </c>
      <c r="P110">
        <v>9</v>
      </c>
      <c r="Q110">
        <v>57</v>
      </c>
      <c r="R110" s="1" t="s">
        <v>26</v>
      </c>
    </row>
    <row r="111" spans="1:18" x14ac:dyDescent="0.35">
      <c r="A111" s="1" t="s">
        <v>167</v>
      </c>
      <c r="B111" s="1" t="s">
        <v>18</v>
      </c>
      <c r="C111" s="1" t="s">
        <v>28</v>
      </c>
      <c r="D111" s="1" t="s">
        <v>20</v>
      </c>
      <c r="E111" s="1" t="s">
        <v>48</v>
      </c>
      <c r="F111">
        <v>58</v>
      </c>
      <c r="G111">
        <v>641.28</v>
      </c>
      <c r="H111" s="1" t="s">
        <v>46</v>
      </c>
      <c r="I111" s="1" t="s">
        <v>40</v>
      </c>
      <c r="J111" s="2">
        <v>45201</v>
      </c>
      <c r="K111" s="1" t="s">
        <v>24</v>
      </c>
      <c r="L111" s="1">
        <f>IF(Subscriptions[[#This Row],[churned]]="Yes",1,0)</f>
        <v>1</v>
      </c>
      <c r="M111" s="2">
        <v>45778</v>
      </c>
      <c r="N111" s="1" t="s">
        <v>85</v>
      </c>
      <c r="O111">
        <v>12</v>
      </c>
      <c r="P111">
        <v>3</v>
      </c>
      <c r="Q111">
        <v>38</v>
      </c>
      <c r="R111" s="1" t="s">
        <v>26</v>
      </c>
    </row>
    <row r="112" spans="1:18" x14ac:dyDescent="0.35">
      <c r="A112" s="1" t="s">
        <v>168</v>
      </c>
      <c r="B112" s="1" t="s">
        <v>32</v>
      </c>
      <c r="C112" s="1" t="s">
        <v>28</v>
      </c>
      <c r="D112" s="1" t="s">
        <v>82</v>
      </c>
      <c r="E112" s="1" t="s">
        <v>39</v>
      </c>
      <c r="F112">
        <v>5</v>
      </c>
      <c r="G112">
        <v>39.44</v>
      </c>
      <c r="H112" s="1" t="s">
        <v>35</v>
      </c>
      <c r="I112" s="1" t="s">
        <v>40</v>
      </c>
      <c r="J112" s="2">
        <v>44917</v>
      </c>
      <c r="K112" s="1" t="s">
        <v>24</v>
      </c>
      <c r="L112" s="1">
        <f>IF(Subscriptions[[#This Row],[churned]]="Yes",1,0)</f>
        <v>1</v>
      </c>
      <c r="M112" s="2">
        <v>45242</v>
      </c>
      <c r="N112" s="1" t="s">
        <v>53</v>
      </c>
      <c r="O112">
        <v>15</v>
      </c>
      <c r="P112">
        <v>5</v>
      </c>
      <c r="Q112">
        <v>29</v>
      </c>
      <c r="R112" s="1" t="s">
        <v>26</v>
      </c>
    </row>
    <row r="113" spans="1:18" x14ac:dyDescent="0.35">
      <c r="A113" s="1" t="s">
        <v>169</v>
      </c>
      <c r="B113" s="1" t="s">
        <v>18</v>
      </c>
      <c r="C113" s="1" t="s">
        <v>19</v>
      </c>
      <c r="D113" s="1" t="s">
        <v>33</v>
      </c>
      <c r="E113" s="1" t="s">
        <v>48</v>
      </c>
      <c r="F113">
        <v>42</v>
      </c>
      <c r="G113">
        <v>564.85</v>
      </c>
      <c r="H113" s="1" t="s">
        <v>29</v>
      </c>
      <c r="I113" s="1" t="s">
        <v>23</v>
      </c>
      <c r="J113" s="2">
        <v>44588</v>
      </c>
      <c r="K113" s="1" t="s">
        <v>24</v>
      </c>
      <c r="L113" s="1">
        <f>IF(Subscriptions[[#This Row],[churned]]="Yes",1,0)</f>
        <v>1</v>
      </c>
      <c r="M113" s="2">
        <v>44688</v>
      </c>
      <c r="N113" s="1" t="s">
        <v>56</v>
      </c>
      <c r="O113">
        <v>7</v>
      </c>
      <c r="P113">
        <v>2</v>
      </c>
      <c r="Q113">
        <v>40</v>
      </c>
      <c r="R113" s="1" t="s">
        <v>26</v>
      </c>
    </row>
    <row r="114" spans="1:18" x14ac:dyDescent="0.35">
      <c r="A114" s="1" t="s">
        <v>170</v>
      </c>
      <c r="B114" s="1" t="s">
        <v>37</v>
      </c>
      <c r="C114" s="1" t="s">
        <v>19</v>
      </c>
      <c r="D114" s="1" t="s">
        <v>82</v>
      </c>
      <c r="E114" s="1" t="s">
        <v>39</v>
      </c>
      <c r="F114">
        <v>20</v>
      </c>
      <c r="G114">
        <v>766.15</v>
      </c>
      <c r="H114" s="1" t="s">
        <v>46</v>
      </c>
      <c r="I114" s="1" t="s">
        <v>23</v>
      </c>
      <c r="J114" s="2">
        <v>45087</v>
      </c>
      <c r="K114" s="1" t="s">
        <v>24</v>
      </c>
      <c r="L114" s="1">
        <f>IF(Subscriptions[[#This Row],[churned]]="Yes",1,0)</f>
        <v>1</v>
      </c>
      <c r="M114" s="2">
        <v>45230</v>
      </c>
      <c r="N114" s="1" t="s">
        <v>59</v>
      </c>
      <c r="O114">
        <v>3</v>
      </c>
      <c r="P114">
        <v>4</v>
      </c>
      <c r="Q114">
        <v>22</v>
      </c>
      <c r="R114" s="1" t="s">
        <v>26</v>
      </c>
    </row>
    <row r="115" spans="1:18" x14ac:dyDescent="0.35">
      <c r="A115" s="1" t="s">
        <v>171</v>
      </c>
      <c r="B115" s="1" t="s">
        <v>32</v>
      </c>
      <c r="C115" s="1" t="s">
        <v>19</v>
      </c>
      <c r="D115" s="1" t="s">
        <v>44</v>
      </c>
      <c r="E115" s="1" t="s">
        <v>34</v>
      </c>
      <c r="F115">
        <v>235</v>
      </c>
      <c r="G115">
        <v>1046.9000000000001</v>
      </c>
      <c r="H115" s="1" t="s">
        <v>46</v>
      </c>
      <c r="I115" s="1" t="s">
        <v>58</v>
      </c>
      <c r="J115" s="2">
        <v>44718</v>
      </c>
      <c r="K115" s="1" t="s">
        <v>24</v>
      </c>
      <c r="L115" s="1">
        <f>IF(Subscriptions[[#This Row],[churned]]="Yes",1,0)</f>
        <v>1</v>
      </c>
      <c r="M115" s="2">
        <v>44731</v>
      </c>
      <c r="N115" s="1" t="s">
        <v>59</v>
      </c>
      <c r="O115">
        <v>11</v>
      </c>
      <c r="P115">
        <v>1</v>
      </c>
      <c r="Q115">
        <v>23</v>
      </c>
      <c r="R115" s="1" t="s">
        <v>26</v>
      </c>
    </row>
    <row r="116" spans="1:18" x14ac:dyDescent="0.35">
      <c r="A116" s="1" t="s">
        <v>172</v>
      </c>
      <c r="B116" s="1" t="s">
        <v>32</v>
      </c>
      <c r="C116" s="1" t="s">
        <v>28</v>
      </c>
      <c r="D116" s="1" t="s">
        <v>71</v>
      </c>
      <c r="E116" s="1" t="s">
        <v>48</v>
      </c>
      <c r="F116">
        <v>31</v>
      </c>
      <c r="G116">
        <v>135.57</v>
      </c>
      <c r="H116" s="1" t="s">
        <v>22</v>
      </c>
      <c r="I116" s="1" t="s">
        <v>72</v>
      </c>
      <c r="J116" s="2">
        <v>45532</v>
      </c>
      <c r="K116" s="1" t="s">
        <v>26</v>
      </c>
      <c r="L116" s="1">
        <f>IF(Subscriptions[[#This Row],[churned]]="Yes",1,0)</f>
        <v>0</v>
      </c>
      <c r="M116" s="2"/>
      <c r="N116" s="1" t="s">
        <v>30</v>
      </c>
      <c r="O116">
        <v>0</v>
      </c>
      <c r="P116">
        <v>5</v>
      </c>
      <c r="Q116">
        <v>75</v>
      </c>
      <c r="R116" s="1" t="s">
        <v>26</v>
      </c>
    </row>
    <row r="117" spans="1:18" x14ac:dyDescent="0.35">
      <c r="A117" s="1" t="s">
        <v>173</v>
      </c>
      <c r="B117" s="1" t="s">
        <v>18</v>
      </c>
      <c r="C117" s="1" t="s">
        <v>19</v>
      </c>
      <c r="D117" s="1" t="s">
        <v>44</v>
      </c>
      <c r="E117" s="1" t="s">
        <v>21</v>
      </c>
      <c r="F117">
        <v>16</v>
      </c>
      <c r="G117">
        <v>256.75</v>
      </c>
      <c r="H117" s="1" t="s">
        <v>22</v>
      </c>
      <c r="I117" s="1" t="s">
        <v>23</v>
      </c>
      <c r="J117" s="2">
        <v>45903</v>
      </c>
      <c r="K117" s="1" t="s">
        <v>26</v>
      </c>
      <c r="L117" s="1">
        <f>IF(Subscriptions[[#This Row],[churned]]="Yes",1,0)</f>
        <v>0</v>
      </c>
      <c r="M117" s="2"/>
      <c r="N117" s="1" t="s">
        <v>30</v>
      </c>
      <c r="O117">
        <v>0</v>
      </c>
      <c r="P117">
        <v>2</v>
      </c>
      <c r="Q117">
        <v>25</v>
      </c>
      <c r="R117" s="1" t="s">
        <v>26</v>
      </c>
    </row>
    <row r="118" spans="1:18" x14ac:dyDescent="0.35">
      <c r="A118" s="1" t="s">
        <v>174</v>
      </c>
      <c r="B118" s="1" t="s">
        <v>18</v>
      </c>
      <c r="C118" s="1" t="s">
        <v>28</v>
      </c>
      <c r="D118" s="1" t="s">
        <v>52</v>
      </c>
      <c r="E118" s="1" t="s">
        <v>21</v>
      </c>
      <c r="F118">
        <v>25</v>
      </c>
      <c r="G118">
        <v>308.89</v>
      </c>
      <c r="H118" s="1" t="s">
        <v>63</v>
      </c>
      <c r="I118" s="1" t="s">
        <v>58</v>
      </c>
      <c r="J118" s="2">
        <v>45364</v>
      </c>
      <c r="K118" s="1" t="s">
        <v>24</v>
      </c>
      <c r="L118" s="1">
        <f>IF(Subscriptions[[#This Row],[churned]]="Yes",1,0)</f>
        <v>1</v>
      </c>
      <c r="M118" s="2">
        <v>45822</v>
      </c>
      <c r="N118" s="1" t="s">
        <v>56</v>
      </c>
      <c r="O118">
        <v>0</v>
      </c>
      <c r="P118">
        <v>2</v>
      </c>
      <c r="Q118">
        <v>28</v>
      </c>
      <c r="R118" s="1" t="s">
        <v>26</v>
      </c>
    </row>
    <row r="119" spans="1:18" x14ac:dyDescent="0.35">
      <c r="A119" s="1" t="s">
        <v>175</v>
      </c>
      <c r="B119" s="1" t="s">
        <v>18</v>
      </c>
      <c r="C119" s="1" t="s">
        <v>19</v>
      </c>
      <c r="D119" s="1" t="s">
        <v>42</v>
      </c>
      <c r="E119" s="1" t="s">
        <v>39</v>
      </c>
      <c r="F119">
        <v>17</v>
      </c>
      <c r="G119">
        <v>268.60000000000002</v>
      </c>
      <c r="H119" s="1" t="s">
        <v>35</v>
      </c>
      <c r="I119" s="1" t="s">
        <v>40</v>
      </c>
      <c r="J119" s="2">
        <v>45657</v>
      </c>
      <c r="K119" s="1" t="s">
        <v>24</v>
      </c>
      <c r="L119" s="1">
        <f>IF(Subscriptions[[#This Row],[churned]]="Yes",1,0)</f>
        <v>1</v>
      </c>
      <c r="M119" s="2">
        <v>45730</v>
      </c>
      <c r="N119" s="1" t="s">
        <v>66</v>
      </c>
      <c r="O119">
        <v>0</v>
      </c>
      <c r="P119">
        <v>5</v>
      </c>
      <c r="Q119">
        <v>25</v>
      </c>
      <c r="R119" s="1" t="s">
        <v>26</v>
      </c>
    </row>
    <row r="120" spans="1:18" x14ac:dyDescent="0.35">
      <c r="A120" s="1" t="s">
        <v>176</v>
      </c>
      <c r="B120" s="1" t="s">
        <v>18</v>
      </c>
      <c r="C120" s="1" t="s">
        <v>19</v>
      </c>
      <c r="D120" s="1" t="s">
        <v>65</v>
      </c>
      <c r="E120" s="1" t="s">
        <v>39</v>
      </c>
      <c r="F120">
        <v>28</v>
      </c>
      <c r="G120">
        <v>398.95</v>
      </c>
      <c r="H120" s="1" t="s">
        <v>22</v>
      </c>
      <c r="I120" s="1" t="s">
        <v>23</v>
      </c>
      <c r="J120" s="2">
        <v>44866</v>
      </c>
      <c r="K120" s="1" t="s">
        <v>26</v>
      </c>
      <c r="L120" s="1">
        <f>IF(Subscriptions[[#This Row],[churned]]="Yes",1,0)</f>
        <v>0</v>
      </c>
      <c r="M120" s="2"/>
      <c r="N120" s="1" t="s">
        <v>30</v>
      </c>
      <c r="O120">
        <v>9</v>
      </c>
      <c r="P120">
        <v>8</v>
      </c>
      <c r="Q120">
        <v>44</v>
      </c>
      <c r="R120" s="1" t="s">
        <v>26</v>
      </c>
    </row>
    <row r="121" spans="1:18" x14ac:dyDescent="0.35">
      <c r="A121" s="1" t="s">
        <v>177</v>
      </c>
      <c r="B121" s="1" t="s">
        <v>18</v>
      </c>
      <c r="C121" s="1" t="s">
        <v>28</v>
      </c>
      <c r="D121" s="1" t="s">
        <v>33</v>
      </c>
      <c r="E121" s="1" t="s">
        <v>45</v>
      </c>
      <c r="F121">
        <v>2</v>
      </c>
      <c r="G121">
        <v>77.22</v>
      </c>
      <c r="H121" s="1" t="s">
        <v>35</v>
      </c>
      <c r="I121" s="1" t="s">
        <v>23</v>
      </c>
      <c r="J121" s="2">
        <v>44646</v>
      </c>
      <c r="K121" s="1" t="s">
        <v>26</v>
      </c>
      <c r="L121" s="1">
        <f>IF(Subscriptions[[#This Row],[churned]]="Yes",1,0)</f>
        <v>0</v>
      </c>
      <c r="M121" s="2"/>
      <c r="N121" s="1" t="s">
        <v>30</v>
      </c>
      <c r="O121">
        <v>3</v>
      </c>
      <c r="P121">
        <v>4</v>
      </c>
      <c r="Q121">
        <v>22</v>
      </c>
      <c r="R121" s="1" t="s">
        <v>26</v>
      </c>
    </row>
    <row r="122" spans="1:18" x14ac:dyDescent="0.35">
      <c r="A122" s="1" t="s">
        <v>178</v>
      </c>
      <c r="B122" s="1" t="s">
        <v>32</v>
      </c>
      <c r="C122" s="1" t="s">
        <v>28</v>
      </c>
      <c r="D122" s="1" t="s">
        <v>52</v>
      </c>
      <c r="E122" s="1" t="s">
        <v>39</v>
      </c>
      <c r="F122">
        <v>32</v>
      </c>
      <c r="G122">
        <v>139.27000000000001</v>
      </c>
      <c r="H122" s="1" t="s">
        <v>22</v>
      </c>
      <c r="I122" s="1" t="s">
        <v>23</v>
      </c>
      <c r="J122" s="2">
        <v>45856</v>
      </c>
      <c r="K122" s="1" t="s">
        <v>26</v>
      </c>
      <c r="L122" s="1">
        <f>IF(Subscriptions[[#This Row],[churned]]="Yes",1,0)</f>
        <v>0</v>
      </c>
      <c r="M122" s="2"/>
      <c r="N122" s="1" t="s">
        <v>30</v>
      </c>
      <c r="O122">
        <v>6</v>
      </c>
      <c r="P122">
        <v>2</v>
      </c>
      <c r="Q122">
        <v>81</v>
      </c>
      <c r="R122" s="1" t="s">
        <v>26</v>
      </c>
    </row>
    <row r="123" spans="1:18" x14ac:dyDescent="0.35">
      <c r="A123" s="1" t="s">
        <v>179</v>
      </c>
      <c r="B123" s="1" t="s">
        <v>37</v>
      </c>
      <c r="C123" s="1" t="s">
        <v>19</v>
      </c>
      <c r="D123" s="1" t="s">
        <v>42</v>
      </c>
      <c r="E123" s="1" t="s">
        <v>21</v>
      </c>
      <c r="F123">
        <v>72</v>
      </c>
      <c r="G123">
        <v>2318.35</v>
      </c>
      <c r="H123" s="1" t="s">
        <v>63</v>
      </c>
      <c r="I123" s="1" t="s">
        <v>23</v>
      </c>
      <c r="J123" s="2">
        <v>45480</v>
      </c>
      <c r="K123" s="1" t="s">
        <v>26</v>
      </c>
      <c r="L123" s="1">
        <f>IF(Subscriptions[[#This Row],[churned]]="Yes",1,0)</f>
        <v>0</v>
      </c>
      <c r="M123" s="2"/>
      <c r="N123" s="1" t="s">
        <v>30</v>
      </c>
      <c r="O123">
        <v>4</v>
      </c>
      <c r="P123">
        <v>7</v>
      </c>
      <c r="Q123">
        <v>50</v>
      </c>
      <c r="R123" s="1" t="s">
        <v>24</v>
      </c>
    </row>
    <row r="124" spans="1:18" x14ac:dyDescent="0.35">
      <c r="A124" s="1" t="s">
        <v>180</v>
      </c>
      <c r="B124" s="1" t="s">
        <v>32</v>
      </c>
      <c r="C124" s="1" t="s">
        <v>28</v>
      </c>
      <c r="D124" s="1" t="s">
        <v>55</v>
      </c>
      <c r="E124" s="1" t="s">
        <v>21</v>
      </c>
      <c r="F124">
        <v>26</v>
      </c>
      <c r="G124">
        <v>117.09</v>
      </c>
      <c r="H124" s="1" t="s">
        <v>22</v>
      </c>
      <c r="I124" s="1" t="s">
        <v>58</v>
      </c>
      <c r="J124" s="2">
        <v>45486</v>
      </c>
      <c r="K124" s="1" t="s">
        <v>26</v>
      </c>
      <c r="L124" s="1">
        <f>IF(Subscriptions[[#This Row],[churned]]="Yes",1,0)</f>
        <v>0</v>
      </c>
      <c r="M124" s="2"/>
      <c r="N124" s="1" t="s">
        <v>30</v>
      </c>
      <c r="O124">
        <v>4</v>
      </c>
      <c r="P124">
        <v>4</v>
      </c>
      <c r="Q124">
        <v>48</v>
      </c>
      <c r="R124" s="1" t="s">
        <v>26</v>
      </c>
    </row>
    <row r="125" spans="1:18" x14ac:dyDescent="0.35">
      <c r="A125" s="1" t="s">
        <v>181</v>
      </c>
      <c r="B125" s="1" t="s">
        <v>18</v>
      </c>
      <c r="C125" s="1" t="s">
        <v>19</v>
      </c>
      <c r="D125" s="1" t="s">
        <v>71</v>
      </c>
      <c r="E125" s="1" t="s">
        <v>21</v>
      </c>
      <c r="F125">
        <v>71</v>
      </c>
      <c r="G125">
        <v>908.5</v>
      </c>
      <c r="H125" s="1" t="s">
        <v>46</v>
      </c>
      <c r="I125" s="1" t="s">
        <v>23</v>
      </c>
      <c r="J125" s="2">
        <v>44910</v>
      </c>
      <c r="K125" s="1" t="s">
        <v>26</v>
      </c>
      <c r="L125" s="1">
        <f>IF(Subscriptions[[#This Row],[churned]]="Yes",1,0)</f>
        <v>0</v>
      </c>
      <c r="M125" s="2"/>
      <c r="N125" s="1" t="s">
        <v>30</v>
      </c>
      <c r="O125">
        <v>2</v>
      </c>
      <c r="P125">
        <v>5</v>
      </c>
      <c r="Q125">
        <v>31</v>
      </c>
      <c r="R125" s="1" t="s">
        <v>26</v>
      </c>
    </row>
    <row r="126" spans="1:18" x14ac:dyDescent="0.35">
      <c r="A126" s="1" t="s">
        <v>182</v>
      </c>
      <c r="B126" s="1" t="s">
        <v>37</v>
      </c>
      <c r="C126" s="1" t="s">
        <v>28</v>
      </c>
      <c r="D126" s="1" t="s">
        <v>71</v>
      </c>
      <c r="E126" s="1" t="s">
        <v>45</v>
      </c>
      <c r="F126">
        <v>4</v>
      </c>
      <c r="G126">
        <v>245.27</v>
      </c>
      <c r="H126" s="1" t="s">
        <v>63</v>
      </c>
      <c r="I126" s="1" t="s">
        <v>40</v>
      </c>
      <c r="J126" s="2">
        <v>45728</v>
      </c>
      <c r="K126" s="1" t="s">
        <v>26</v>
      </c>
      <c r="L126" s="1">
        <f>IF(Subscriptions[[#This Row],[churned]]="Yes",1,0)</f>
        <v>0</v>
      </c>
      <c r="M126" s="2"/>
      <c r="N126" s="1" t="s">
        <v>30</v>
      </c>
      <c r="O126">
        <v>11</v>
      </c>
      <c r="P126">
        <v>6</v>
      </c>
      <c r="Q126">
        <v>36</v>
      </c>
      <c r="R126" s="1" t="s">
        <v>24</v>
      </c>
    </row>
    <row r="127" spans="1:18" x14ac:dyDescent="0.35">
      <c r="A127" s="1" t="s">
        <v>183</v>
      </c>
      <c r="B127" s="1" t="s">
        <v>18</v>
      </c>
      <c r="C127" s="1" t="s">
        <v>19</v>
      </c>
      <c r="D127" s="1" t="s">
        <v>55</v>
      </c>
      <c r="E127" s="1" t="s">
        <v>39</v>
      </c>
      <c r="F127">
        <v>20</v>
      </c>
      <c r="G127">
        <v>304.14999999999998</v>
      </c>
      <c r="H127" s="1" t="s">
        <v>22</v>
      </c>
      <c r="I127" s="1" t="s">
        <v>23</v>
      </c>
      <c r="J127" s="2">
        <v>45091</v>
      </c>
      <c r="K127" s="1" t="s">
        <v>26</v>
      </c>
      <c r="L127" s="1">
        <f>IF(Subscriptions[[#This Row],[churned]]="Yes",1,0)</f>
        <v>0</v>
      </c>
      <c r="M127" s="2"/>
      <c r="N127" s="1" t="s">
        <v>30</v>
      </c>
      <c r="O127">
        <v>1</v>
      </c>
      <c r="P127">
        <v>5</v>
      </c>
      <c r="Q127">
        <v>40</v>
      </c>
      <c r="R127" s="1" t="s">
        <v>24</v>
      </c>
    </row>
    <row r="128" spans="1:18" x14ac:dyDescent="0.35">
      <c r="A128" s="1" t="s">
        <v>184</v>
      </c>
      <c r="B128" s="1" t="s">
        <v>32</v>
      </c>
      <c r="C128" s="1" t="s">
        <v>19</v>
      </c>
      <c r="D128" s="1" t="s">
        <v>82</v>
      </c>
      <c r="E128" s="1" t="s">
        <v>39</v>
      </c>
      <c r="F128">
        <v>27</v>
      </c>
      <c r="G128">
        <v>142.1</v>
      </c>
      <c r="H128" s="1" t="s">
        <v>63</v>
      </c>
      <c r="I128" s="1" t="s">
        <v>23</v>
      </c>
      <c r="J128" s="2">
        <v>45636</v>
      </c>
      <c r="K128" s="1" t="s">
        <v>24</v>
      </c>
      <c r="L128" s="1">
        <f>IF(Subscriptions[[#This Row],[churned]]="Yes",1,0)</f>
        <v>1</v>
      </c>
      <c r="M128" s="2">
        <v>45672</v>
      </c>
      <c r="N128" s="1" t="s">
        <v>59</v>
      </c>
      <c r="O128">
        <v>3</v>
      </c>
      <c r="P128">
        <v>3</v>
      </c>
      <c r="Q128">
        <v>38</v>
      </c>
      <c r="R128" s="1" t="s">
        <v>26</v>
      </c>
    </row>
    <row r="129" spans="1:18" x14ac:dyDescent="0.35">
      <c r="A129" s="1" t="s">
        <v>185</v>
      </c>
      <c r="B129" s="1" t="s">
        <v>32</v>
      </c>
      <c r="C129" s="1" t="s">
        <v>19</v>
      </c>
      <c r="D129" s="1" t="s">
        <v>20</v>
      </c>
      <c r="E129" s="1" t="s">
        <v>48</v>
      </c>
      <c r="F129">
        <v>46</v>
      </c>
      <c r="G129">
        <v>224.75</v>
      </c>
      <c r="H129" s="1" t="s">
        <v>63</v>
      </c>
      <c r="I129" s="1" t="s">
        <v>58</v>
      </c>
      <c r="J129" s="2">
        <v>44925</v>
      </c>
      <c r="K129" s="1" t="s">
        <v>24</v>
      </c>
      <c r="L129" s="1">
        <f>IF(Subscriptions[[#This Row],[churned]]="Yes",1,0)</f>
        <v>1</v>
      </c>
      <c r="M129" s="2">
        <v>45040</v>
      </c>
      <c r="N129" s="1" t="s">
        <v>66</v>
      </c>
      <c r="O129">
        <v>10</v>
      </c>
      <c r="P129">
        <v>2</v>
      </c>
      <c r="Q129">
        <v>33</v>
      </c>
      <c r="R129" s="1" t="s">
        <v>26</v>
      </c>
    </row>
    <row r="130" spans="1:18" x14ac:dyDescent="0.35">
      <c r="A130" s="1" t="s">
        <v>186</v>
      </c>
      <c r="B130" s="1" t="s">
        <v>32</v>
      </c>
      <c r="C130" s="1" t="s">
        <v>19</v>
      </c>
      <c r="D130" s="1" t="s">
        <v>33</v>
      </c>
      <c r="E130" s="1" t="s">
        <v>21</v>
      </c>
      <c r="F130">
        <v>31</v>
      </c>
      <c r="G130">
        <v>159.5</v>
      </c>
      <c r="H130" s="1" t="s">
        <v>46</v>
      </c>
      <c r="I130" s="1" t="s">
        <v>23</v>
      </c>
      <c r="J130" s="2">
        <v>44797</v>
      </c>
      <c r="K130" s="1" t="s">
        <v>24</v>
      </c>
      <c r="L130" s="1">
        <f>IF(Subscriptions[[#This Row],[churned]]="Yes",1,0)</f>
        <v>1</v>
      </c>
      <c r="M130" s="2">
        <v>44831</v>
      </c>
      <c r="N130" s="1" t="s">
        <v>85</v>
      </c>
      <c r="O130">
        <v>10</v>
      </c>
      <c r="P130">
        <v>4</v>
      </c>
      <c r="Q130">
        <v>22</v>
      </c>
      <c r="R130" s="1" t="s">
        <v>26</v>
      </c>
    </row>
    <row r="131" spans="1:18" x14ac:dyDescent="0.35">
      <c r="A131" s="1" t="s">
        <v>187</v>
      </c>
      <c r="B131" s="1" t="s">
        <v>18</v>
      </c>
      <c r="C131" s="1" t="s">
        <v>19</v>
      </c>
      <c r="D131" s="1" t="s">
        <v>42</v>
      </c>
      <c r="E131" s="1" t="s">
        <v>45</v>
      </c>
      <c r="F131">
        <v>8</v>
      </c>
      <c r="G131">
        <v>161.94999999999999</v>
      </c>
      <c r="H131" s="1" t="s">
        <v>22</v>
      </c>
      <c r="I131" s="1" t="s">
        <v>72</v>
      </c>
      <c r="J131" s="2">
        <v>45842</v>
      </c>
      <c r="K131" s="1" t="s">
        <v>26</v>
      </c>
      <c r="L131" s="1">
        <f>IF(Subscriptions[[#This Row],[churned]]="Yes",1,0)</f>
        <v>0</v>
      </c>
      <c r="M131" s="2"/>
      <c r="N131" s="1" t="s">
        <v>30</v>
      </c>
      <c r="O131">
        <v>6</v>
      </c>
      <c r="P131">
        <v>1</v>
      </c>
      <c r="Q131">
        <v>68</v>
      </c>
      <c r="R131" s="1" t="s">
        <v>26</v>
      </c>
    </row>
    <row r="132" spans="1:18" x14ac:dyDescent="0.35">
      <c r="A132" s="1" t="s">
        <v>188</v>
      </c>
      <c r="B132" s="1" t="s">
        <v>37</v>
      </c>
      <c r="C132" s="1" t="s">
        <v>28</v>
      </c>
      <c r="D132" s="1" t="s">
        <v>71</v>
      </c>
      <c r="E132" s="1" t="s">
        <v>39</v>
      </c>
      <c r="F132">
        <v>6</v>
      </c>
      <c r="G132">
        <v>296.01</v>
      </c>
      <c r="H132" s="1" t="s">
        <v>35</v>
      </c>
      <c r="I132" s="1" t="s">
        <v>72</v>
      </c>
      <c r="J132" s="2">
        <v>45659</v>
      </c>
      <c r="K132" s="1" t="s">
        <v>26</v>
      </c>
      <c r="L132" s="1">
        <f>IF(Subscriptions[[#This Row],[churned]]="Yes",1,0)</f>
        <v>0</v>
      </c>
      <c r="M132" s="2"/>
      <c r="N132" s="1" t="s">
        <v>30</v>
      </c>
      <c r="O132">
        <v>11</v>
      </c>
      <c r="P132">
        <v>9</v>
      </c>
      <c r="Q132">
        <v>36</v>
      </c>
      <c r="R132" s="1" t="s">
        <v>26</v>
      </c>
    </row>
    <row r="133" spans="1:18" x14ac:dyDescent="0.35">
      <c r="A133" s="1" t="s">
        <v>189</v>
      </c>
      <c r="B133" s="1" t="s">
        <v>32</v>
      </c>
      <c r="C133" s="1" t="s">
        <v>28</v>
      </c>
      <c r="D133" s="1" t="s">
        <v>82</v>
      </c>
      <c r="E133" s="1" t="s">
        <v>45</v>
      </c>
      <c r="F133">
        <v>8</v>
      </c>
      <c r="G133">
        <v>50.53</v>
      </c>
      <c r="H133" s="1" t="s">
        <v>101</v>
      </c>
      <c r="I133" s="1" t="s">
        <v>23</v>
      </c>
      <c r="J133" s="2">
        <v>45950</v>
      </c>
      <c r="K133" s="1" t="s">
        <v>26</v>
      </c>
      <c r="L133" s="1">
        <f>IF(Subscriptions[[#This Row],[churned]]="Yes",1,0)</f>
        <v>0</v>
      </c>
      <c r="M133" s="2"/>
      <c r="N133" s="1" t="s">
        <v>30</v>
      </c>
      <c r="O133">
        <v>7</v>
      </c>
      <c r="P133">
        <v>3</v>
      </c>
      <c r="Q133">
        <v>90</v>
      </c>
      <c r="R133" s="1" t="s">
        <v>26</v>
      </c>
    </row>
    <row r="134" spans="1:18" x14ac:dyDescent="0.35">
      <c r="A134" s="1" t="s">
        <v>190</v>
      </c>
      <c r="B134" s="1" t="s">
        <v>74</v>
      </c>
      <c r="C134" s="1" t="s">
        <v>19</v>
      </c>
      <c r="D134" s="1" t="s">
        <v>82</v>
      </c>
      <c r="E134" s="1" t="s">
        <v>45</v>
      </c>
      <c r="F134">
        <v>1</v>
      </c>
      <c r="G134">
        <v>499</v>
      </c>
      <c r="H134" s="1" t="s">
        <v>46</v>
      </c>
      <c r="I134" s="1" t="s">
        <v>23</v>
      </c>
      <c r="J134" s="2">
        <v>45727</v>
      </c>
      <c r="K134" s="1" t="s">
        <v>26</v>
      </c>
      <c r="L134" s="1">
        <f>IF(Subscriptions[[#This Row],[churned]]="Yes",1,0)</f>
        <v>0</v>
      </c>
      <c r="M134" s="2"/>
      <c r="N134" s="1" t="s">
        <v>30</v>
      </c>
      <c r="O134">
        <v>7</v>
      </c>
      <c r="P134">
        <v>8</v>
      </c>
      <c r="Q134">
        <v>22</v>
      </c>
      <c r="R134" s="1" t="s">
        <v>26</v>
      </c>
    </row>
    <row r="135" spans="1:18" x14ac:dyDescent="0.35">
      <c r="A135" s="1" t="s">
        <v>191</v>
      </c>
      <c r="B135" s="1" t="s">
        <v>37</v>
      </c>
      <c r="C135" s="1" t="s">
        <v>28</v>
      </c>
      <c r="D135" s="1" t="s">
        <v>42</v>
      </c>
      <c r="E135" s="1" t="s">
        <v>21</v>
      </c>
      <c r="F135">
        <v>71</v>
      </c>
      <c r="G135">
        <v>1945.22</v>
      </c>
      <c r="H135" s="1" t="s">
        <v>46</v>
      </c>
      <c r="I135" s="1" t="s">
        <v>72</v>
      </c>
      <c r="J135" s="2">
        <v>44607</v>
      </c>
      <c r="K135" s="1" t="s">
        <v>24</v>
      </c>
      <c r="L135" s="1">
        <f>IF(Subscriptions[[#This Row],[churned]]="Yes",1,0)</f>
        <v>1</v>
      </c>
      <c r="M135" s="2">
        <v>45848</v>
      </c>
      <c r="N135" s="1" t="s">
        <v>85</v>
      </c>
      <c r="O135">
        <v>11</v>
      </c>
      <c r="P135">
        <v>5</v>
      </c>
      <c r="Q135">
        <v>31</v>
      </c>
      <c r="R135" s="1" t="s">
        <v>26</v>
      </c>
    </row>
    <row r="136" spans="1:18" x14ac:dyDescent="0.35">
      <c r="A136" s="1" t="s">
        <v>192</v>
      </c>
      <c r="B136" s="1" t="s">
        <v>18</v>
      </c>
      <c r="C136" s="1" t="s">
        <v>19</v>
      </c>
      <c r="D136" s="1" t="s">
        <v>20</v>
      </c>
      <c r="E136" s="1" t="s">
        <v>39</v>
      </c>
      <c r="F136">
        <v>25</v>
      </c>
      <c r="G136">
        <v>363.4</v>
      </c>
      <c r="H136" s="1" t="s">
        <v>63</v>
      </c>
      <c r="I136" s="1" t="s">
        <v>58</v>
      </c>
      <c r="J136" s="2">
        <v>44789</v>
      </c>
      <c r="K136" s="1" t="s">
        <v>26</v>
      </c>
      <c r="L136" s="1">
        <f>IF(Subscriptions[[#This Row],[churned]]="Yes",1,0)</f>
        <v>0</v>
      </c>
      <c r="M136" s="2"/>
      <c r="N136" s="1" t="s">
        <v>30</v>
      </c>
      <c r="O136">
        <v>5</v>
      </c>
      <c r="P136">
        <v>9</v>
      </c>
      <c r="Q136">
        <v>85</v>
      </c>
      <c r="R136" s="1" t="s">
        <v>26</v>
      </c>
    </row>
    <row r="137" spans="1:18" x14ac:dyDescent="0.35">
      <c r="A137" s="1" t="s">
        <v>193</v>
      </c>
      <c r="B137" s="1" t="s">
        <v>18</v>
      </c>
      <c r="C137" s="1" t="s">
        <v>28</v>
      </c>
      <c r="D137" s="1" t="s">
        <v>44</v>
      </c>
      <c r="E137" s="1" t="s">
        <v>34</v>
      </c>
      <c r="F137">
        <v>106</v>
      </c>
      <c r="G137">
        <v>1124.76</v>
      </c>
      <c r="H137" s="1" t="s">
        <v>35</v>
      </c>
      <c r="I137" s="1" t="s">
        <v>23</v>
      </c>
      <c r="J137" s="2">
        <v>44626</v>
      </c>
      <c r="K137" s="1" t="s">
        <v>26</v>
      </c>
      <c r="L137" s="1">
        <f>IF(Subscriptions[[#This Row],[churned]]="Yes",1,0)</f>
        <v>0</v>
      </c>
      <c r="M137" s="2"/>
      <c r="N137" s="1" t="s">
        <v>30</v>
      </c>
      <c r="O137">
        <v>4</v>
      </c>
      <c r="P137">
        <v>4</v>
      </c>
      <c r="Q137">
        <v>87</v>
      </c>
      <c r="R137" s="1" t="s">
        <v>26</v>
      </c>
    </row>
    <row r="138" spans="1:18" x14ac:dyDescent="0.35">
      <c r="A138" s="1" t="s">
        <v>194</v>
      </c>
      <c r="B138" s="1" t="s">
        <v>32</v>
      </c>
      <c r="C138" s="1" t="s">
        <v>28</v>
      </c>
      <c r="D138" s="1" t="s">
        <v>38</v>
      </c>
      <c r="E138" s="1" t="s">
        <v>39</v>
      </c>
      <c r="F138">
        <v>9</v>
      </c>
      <c r="G138">
        <v>54.23</v>
      </c>
      <c r="H138" s="1" t="s">
        <v>22</v>
      </c>
      <c r="I138" s="1" t="s">
        <v>23</v>
      </c>
      <c r="J138" s="2">
        <v>45053</v>
      </c>
      <c r="K138" s="1" t="s">
        <v>24</v>
      </c>
      <c r="L138" s="1">
        <f>IF(Subscriptions[[#This Row],[churned]]="Yes",1,0)</f>
        <v>1</v>
      </c>
      <c r="M138" s="2">
        <v>45338</v>
      </c>
      <c r="N138" s="1" t="s">
        <v>49</v>
      </c>
      <c r="O138">
        <v>4</v>
      </c>
      <c r="P138">
        <v>2</v>
      </c>
      <c r="Q138">
        <v>41</v>
      </c>
      <c r="R138" s="1" t="s">
        <v>26</v>
      </c>
    </row>
    <row r="139" spans="1:18" x14ac:dyDescent="0.35">
      <c r="A139" s="1" t="s">
        <v>195</v>
      </c>
      <c r="B139" s="1" t="s">
        <v>32</v>
      </c>
      <c r="C139" s="1" t="s">
        <v>19</v>
      </c>
      <c r="D139" s="1" t="s">
        <v>55</v>
      </c>
      <c r="E139" s="1" t="s">
        <v>39</v>
      </c>
      <c r="F139">
        <v>21</v>
      </c>
      <c r="G139">
        <v>116</v>
      </c>
      <c r="H139" s="1" t="s">
        <v>29</v>
      </c>
      <c r="I139" s="1" t="s">
        <v>40</v>
      </c>
      <c r="J139" s="2">
        <v>44774</v>
      </c>
      <c r="K139" s="1" t="s">
        <v>24</v>
      </c>
      <c r="L139" s="1">
        <f>IF(Subscriptions[[#This Row],[churned]]="Yes",1,0)</f>
        <v>1</v>
      </c>
      <c r="M139" s="2">
        <v>44812</v>
      </c>
      <c r="N139" s="1" t="s">
        <v>25</v>
      </c>
      <c r="O139">
        <v>1</v>
      </c>
      <c r="P139">
        <v>3</v>
      </c>
      <c r="Q139">
        <v>19</v>
      </c>
      <c r="R139" s="1" t="s">
        <v>26</v>
      </c>
    </row>
    <row r="140" spans="1:18" x14ac:dyDescent="0.35">
      <c r="A140" s="1" t="s">
        <v>196</v>
      </c>
      <c r="B140" s="1" t="s">
        <v>32</v>
      </c>
      <c r="C140" s="1" t="s">
        <v>19</v>
      </c>
      <c r="D140" s="1" t="s">
        <v>33</v>
      </c>
      <c r="E140" s="1" t="s">
        <v>39</v>
      </c>
      <c r="F140">
        <v>5</v>
      </c>
      <c r="G140">
        <v>46.4</v>
      </c>
      <c r="H140" s="1" t="s">
        <v>46</v>
      </c>
      <c r="I140" s="1" t="s">
        <v>23</v>
      </c>
      <c r="J140" s="2">
        <v>45663</v>
      </c>
      <c r="K140" s="1" t="s">
        <v>24</v>
      </c>
      <c r="L140" s="1">
        <f>IF(Subscriptions[[#This Row],[churned]]="Yes",1,0)</f>
        <v>1</v>
      </c>
      <c r="M140" s="2">
        <v>46010</v>
      </c>
      <c r="N140" s="1" t="s">
        <v>56</v>
      </c>
      <c r="O140">
        <v>7</v>
      </c>
      <c r="P140">
        <v>3</v>
      </c>
      <c r="Q140">
        <v>22</v>
      </c>
      <c r="R140" s="1" t="s">
        <v>26</v>
      </c>
    </row>
    <row r="141" spans="1:18" x14ac:dyDescent="0.35">
      <c r="A141" s="1" t="s">
        <v>197</v>
      </c>
      <c r="B141" s="1" t="s">
        <v>32</v>
      </c>
      <c r="C141" s="1" t="s">
        <v>19</v>
      </c>
      <c r="D141" s="1" t="s">
        <v>20</v>
      </c>
      <c r="E141" s="1" t="s">
        <v>48</v>
      </c>
      <c r="F141">
        <v>131</v>
      </c>
      <c r="G141">
        <v>594.5</v>
      </c>
      <c r="H141" s="1" t="s">
        <v>35</v>
      </c>
      <c r="I141" s="1" t="s">
        <v>23</v>
      </c>
      <c r="J141" s="2">
        <v>44613</v>
      </c>
      <c r="K141" s="1" t="s">
        <v>24</v>
      </c>
      <c r="L141" s="1">
        <f>IF(Subscriptions[[#This Row],[churned]]="Yes",1,0)</f>
        <v>1</v>
      </c>
      <c r="M141" s="2">
        <v>44764</v>
      </c>
      <c r="N141" s="1" t="s">
        <v>59</v>
      </c>
      <c r="O141">
        <v>9</v>
      </c>
      <c r="P141">
        <v>3</v>
      </c>
      <c r="Q141">
        <v>16</v>
      </c>
      <c r="R141" s="1" t="s">
        <v>26</v>
      </c>
    </row>
    <row r="142" spans="1:18" x14ac:dyDescent="0.35">
      <c r="A142" s="1" t="s">
        <v>198</v>
      </c>
      <c r="B142" s="1" t="s">
        <v>37</v>
      </c>
      <c r="C142" s="1" t="s">
        <v>28</v>
      </c>
      <c r="D142" s="1" t="s">
        <v>71</v>
      </c>
      <c r="E142" s="1" t="s">
        <v>21</v>
      </c>
      <c r="F142">
        <v>18</v>
      </c>
      <c r="G142">
        <v>600.48</v>
      </c>
      <c r="H142" s="1" t="s">
        <v>63</v>
      </c>
      <c r="I142" s="1" t="s">
        <v>23</v>
      </c>
      <c r="J142" s="2">
        <v>45368</v>
      </c>
      <c r="K142" s="1" t="s">
        <v>26</v>
      </c>
      <c r="L142" s="1">
        <f>IF(Subscriptions[[#This Row],[churned]]="Yes",1,0)</f>
        <v>0</v>
      </c>
      <c r="M142" s="2"/>
      <c r="N142" s="1" t="s">
        <v>30</v>
      </c>
      <c r="O142">
        <v>8</v>
      </c>
      <c r="P142">
        <v>4</v>
      </c>
      <c r="Q142">
        <v>33</v>
      </c>
      <c r="R142" s="1" t="s">
        <v>26</v>
      </c>
    </row>
    <row r="143" spans="1:18" x14ac:dyDescent="0.35">
      <c r="A143" s="1" t="s">
        <v>199</v>
      </c>
      <c r="B143" s="1" t="s">
        <v>32</v>
      </c>
      <c r="C143" s="1" t="s">
        <v>28</v>
      </c>
      <c r="D143" s="1" t="s">
        <v>65</v>
      </c>
      <c r="E143" s="1" t="s">
        <v>21</v>
      </c>
      <c r="F143">
        <v>28</v>
      </c>
      <c r="G143">
        <v>124.48</v>
      </c>
      <c r="H143" s="1" t="s">
        <v>101</v>
      </c>
      <c r="I143" s="1" t="s">
        <v>23</v>
      </c>
      <c r="J143" s="2">
        <v>45534</v>
      </c>
      <c r="K143" s="1" t="s">
        <v>26</v>
      </c>
      <c r="L143" s="1">
        <f>IF(Subscriptions[[#This Row],[churned]]="Yes",1,0)</f>
        <v>0</v>
      </c>
      <c r="M143" s="2"/>
      <c r="N143" s="1" t="s">
        <v>30</v>
      </c>
      <c r="O143">
        <v>8</v>
      </c>
      <c r="P143">
        <v>3</v>
      </c>
      <c r="Q143">
        <v>32</v>
      </c>
      <c r="R143" s="1" t="s">
        <v>26</v>
      </c>
    </row>
    <row r="144" spans="1:18" x14ac:dyDescent="0.35">
      <c r="A144" s="1" t="s">
        <v>200</v>
      </c>
      <c r="B144" s="1" t="s">
        <v>37</v>
      </c>
      <c r="C144" s="1" t="s">
        <v>28</v>
      </c>
      <c r="D144" s="1" t="s">
        <v>33</v>
      </c>
      <c r="E144" s="1" t="s">
        <v>45</v>
      </c>
      <c r="F144">
        <v>7</v>
      </c>
      <c r="G144">
        <v>321.38</v>
      </c>
      <c r="H144" s="1" t="s">
        <v>22</v>
      </c>
      <c r="I144" s="1" t="s">
        <v>23</v>
      </c>
      <c r="J144" s="2">
        <v>45928</v>
      </c>
      <c r="K144" s="1" t="s">
        <v>26</v>
      </c>
      <c r="L144" s="1">
        <f>IF(Subscriptions[[#This Row],[churned]]="Yes",1,0)</f>
        <v>0</v>
      </c>
      <c r="M144" s="2"/>
      <c r="N144" s="1" t="s">
        <v>30</v>
      </c>
      <c r="O144">
        <v>12</v>
      </c>
      <c r="P144">
        <v>1</v>
      </c>
      <c r="Q144">
        <v>43</v>
      </c>
      <c r="R144" s="1" t="s">
        <v>26</v>
      </c>
    </row>
    <row r="145" spans="1:18" x14ac:dyDescent="0.35">
      <c r="A145" s="1" t="s">
        <v>201</v>
      </c>
      <c r="B145" s="1" t="s">
        <v>32</v>
      </c>
      <c r="C145" s="1" t="s">
        <v>19</v>
      </c>
      <c r="D145" s="1" t="s">
        <v>38</v>
      </c>
      <c r="E145" s="1" t="s">
        <v>45</v>
      </c>
      <c r="F145">
        <v>6</v>
      </c>
      <c r="G145">
        <v>50.75</v>
      </c>
      <c r="H145" s="1" t="s">
        <v>22</v>
      </c>
      <c r="I145" s="1" t="s">
        <v>23</v>
      </c>
      <c r="J145" s="2">
        <v>45018</v>
      </c>
      <c r="K145" s="1" t="s">
        <v>24</v>
      </c>
      <c r="L145" s="1">
        <f>IF(Subscriptions[[#This Row],[churned]]="Yes",1,0)</f>
        <v>1</v>
      </c>
      <c r="M145" s="2">
        <v>45129</v>
      </c>
      <c r="N145" s="1" t="s">
        <v>85</v>
      </c>
      <c r="O145">
        <v>3</v>
      </c>
      <c r="P145">
        <v>1</v>
      </c>
      <c r="Q145">
        <v>44</v>
      </c>
      <c r="R145" s="1" t="s">
        <v>26</v>
      </c>
    </row>
    <row r="146" spans="1:18" x14ac:dyDescent="0.35">
      <c r="A146" s="1" t="s">
        <v>202</v>
      </c>
      <c r="B146" s="1" t="s">
        <v>18</v>
      </c>
      <c r="C146" s="1" t="s">
        <v>28</v>
      </c>
      <c r="D146" s="1" t="s">
        <v>33</v>
      </c>
      <c r="E146" s="1" t="s">
        <v>39</v>
      </c>
      <c r="F146">
        <v>8</v>
      </c>
      <c r="G146">
        <v>137.66</v>
      </c>
      <c r="H146" s="1" t="s">
        <v>29</v>
      </c>
      <c r="I146" s="1" t="s">
        <v>23</v>
      </c>
      <c r="J146" s="2">
        <v>45277</v>
      </c>
      <c r="K146" s="1" t="s">
        <v>24</v>
      </c>
      <c r="L146" s="1">
        <f>IF(Subscriptions[[#This Row],[churned]]="Yes",1,0)</f>
        <v>1</v>
      </c>
      <c r="M146" s="2">
        <v>45613</v>
      </c>
      <c r="N146" s="1" t="s">
        <v>49</v>
      </c>
      <c r="O146">
        <v>3</v>
      </c>
      <c r="P146">
        <v>3</v>
      </c>
      <c r="Q146">
        <v>30</v>
      </c>
      <c r="R146" s="1" t="s">
        <v>26</v>
      </c>
    </row>
    <row r="147" spans="1:18" x14ac:dyDescent="0.35">
      <c r="A147" s="1" t="s">
        <v>203</v>
      </c>
      <c r="B147" s="1" t="s">
        <v>74</v>
      </c>
      <c r="C147" s="1" t="s">
        <v>19</v>
      </c>
      <c r="D147" s="1" t="s">
        <v>71</v>
      </c>
      <c r="E147" s="1" t="s">
        <v>39</v>
      </c>
      <c r="F147">
        <v>15</v>
      </c>
      <c r="G147">
        <v>1546.9</v>
      </c>
      <c r="H147" s="1" t="s">
        <v>22</v>
      </c>
      <c r="I147" s="1" t="s">
        <v>23</v>
      </c>
      <c r="J147" s="2">
        <v>44739</v>
      </c>
      <c r="K147" s="1" t="s">
        <v>26</v>
      </c>
      <c r="L147" s="1">
        <f>IF(Subscriptions[[#This Row],[churned]]="Yes",1,0)</f>
        <v>0</v>
      </c>
      <c r="M147" s="2"/>
      <c r="N147" s="1" t="s">
        <v>30</v>
      </c>
      <c r="O147">
        <v>1</v>
      </c>
      <c r="P147">
        <v>5</v>
      </c>
      <c r="Q147">
        <v>61</v>
      </c>
      <c r="R147" s="1" t="s">
        <v>26</v>
      </c>
    </row>
    <row r="148" spans="1:18" x14ac:dyDescent="0.35">
      <c r="A148" s="1" t="s">
        <v>204</v>
      </c>
      <c r="B148" s="1" t="s">
        <v>32</v>
      </c>
      <c r="C148" s="1" t="s">
        <v>28</v>
      </c>
      <c r="D148" s="1" t="s">
        <v>42</v>
      </c>
      <c r="E148" s="1" t="s">
        <v>45</v>
      </c>
      <c r="F148">
        <v>6</v>
      </c>
      <c r="G148">
        <v>43.14</v>
      </c>
      <c r="H148" s="1" t="s">
        <v>63</v>
      </c>
      <c r="I148" s="1" t="s">
        <v>23</v>
      </c>
      <c r="J148" s="2">
        <v>45204</v>
      </c>
      <c r="K148" s="1" t="s">
        <v>24</v>
      </c>
      <c r="L148" s="1">
        <f>IF(Subscriptions[[#This Row],[churned]]="Yes",1,0)</f>
        <v>1</v>
      </c>
      <c r="M148" s="2">
        <v>45251</v>
      </c>
      <c r="N148" s="1" t="s">
        <v>25</v>
      </c>
      <c r="O148">
        <v>5</v>
      </c>
      <c r="P148">
        <v>3</v>
      </c>
      <c r="Q148">
        <v>15</v>
      </c>
      <c r="R148" s="1" t="s">
        <v>26</v>
      </c>
    </row>
    <row r="149" spans="1:18" x14ac:dyDescent="0.35">
      <c r="A149" s="1" t="s">
        <v>205</v>
      </c>
      <c r="B149" s="1" t="s">
        <v>74</v>
      </c>
      <c r="C149" s="1" t="s">
        <v>19</v>
      </c>
      <c r="D149" s="1" t="s">
        <v>52</v>
      </c>
      <c r="E149" s="1" t="s">
        <v>21</v>
      </c>
      <c r="F149">
        <v>73</v>
      </c>
      <c r="G149">
        <v>5888.2</v>
      </c>
      <c r="H149" s="1" t="s">
        <v>22</v>
      </c>
      <c r="I149" s="1" t="s">
        <v>40</v>
      </c>
      <c r="J149" s="2">
        <v>45714</v>
      </c>
      <c r="K149" s="1" t="s">
        <v>26</v>
      </c>
      <c r="L149" s="1">
        <f>IF(Subscriptions[[#This Row],[churned]]="Yes",1,0)</f>
        <v>0</v>
      </c>
      <c r="M149" s="2"/>
      <c r="N149" s="1" t="s">
        <v>30</v>
      </c>
      <c r="O149">
        <v>5</v>
      </c>
      <c r="P149">
        <v>2</v>
      </c>
      <c r="Q149">
        <v>54</v>
      </c>
      <c r="R149" s="1" t="s">
        <v>26</v>
      </c>
    </row>
    <row r="150" spans="1:18" x14ac:dyDescent="0.35">
      <c r="A150" s="1" t="s">
        <v>206</v>
      </c>
      <c r="B150" s="1" t="s">
        <v>18</v>
      </c>
      <c r="C150" s="1" t="s">
        <v>19</v>
      </c>
      <c r="D150" s="1" t="s">
        <v>42</v>
      </c>
      <c r="E150" s="1" t="s">
        <v>45</v>
      </c>
      <c r="F150">
        <v>1</v>
      </c>
      <c r="G150">
        <v>79</v>
      </c>
      <c r="H150" s="1" t="s">
        <v>29</v>
      </c>
      <c r="I150" s="1" t="s">
        <v>23</v>
      </c>
      <c r="J150" s="2">
        <v>45866</v>
      </c>
      <c r="K150" s="1" t="s">
        <v>26</v>
      </c>
      <c r="L150" s="1">
        <f>IF(Subscriptions[[#This Row],[churned]]="Yes",1,0)</f>
        <v>0</v>
      </c>
      <c r="M150" s="2"/>
      <c r="N150" s="1" t="s">
        <v>30</v>
      </c>
      <c r="O150">
        <v>11</v>
      </c>
      <c r="P150">
        <v>6</v>
      </c>
      <c r="Q150">
        <v>74</v>
      </c>
      <c r="R150" s="1" t="s">
        <v>26</v>
      </c>
    </row>
    <row r="151" spans="1:18" x14ac:dyDescent="0.35">
      <c r="A151" s="1" t="s">
        <v>207</v>
      </c>
      <c r="B151" s="1" t="s">
        <v>18</v>
      </c>
      <c r="C151" s="1" t="s">
        <v>19</v>
      </c>
      <c r="D151" s="1" t="s">
        <v>42</v>
      </c>
      <c r="E151" s="1" t="s">
        <v>39</v>
      </c>
      <c r="F151">
        <v>26</v>
      </c>
      <c r="G151">
        <v>375.25</v>
      </c>
      <c r="H151" s="1" t="s">
        <v>22</v>
      </c>
      <c r="I151" s="1" t="s">
        <v>72</v>
      </c>
      <c r="J151" s="2">
        <v>45109</v>
      </c>
      <c r="K151" s="1" t="s">
        <v>24</v>
      </c>
      <c r="L151" s="1">
        <f>IF(Subscriptions[[#This Row],[churned]]="Yes",1,0)</f>
        <v>1</v>
      </c>
      <c r="M151" s="2">
        <v>45346</v>
      </c>
      <c r="N151" s="1" t="s">
        <v>25</v>
      </c>
      <c r="O151">
        <v>13</v>
      </c>
      <c r="P151">
        <v>1</v>
      </c>
      <c r="Q151">
        <v>29</v>
      </c>
      <c r="R151" s="1" t="s">
        <v>26</v>
      </c>
    </row>
    <row r="152" spans="1:18" x14ac:dyDescent="0.35">
      <c r="A152" s="1" t="s">
        <v>208</v>
      </c>
      <c r="B152" s="1" t="s">
        <v>32</v>
      </c>
      <c r="C152" s="1" t="s">
        <v>19</v>
      </c>
      <c r="D152" s="1" t="s">
        <v>20</v>
      </c>
      <c r="E152" s="1" t="s">
        <v>45</v>
      </c>
      <c r="F152">
        <v>5</v>
      </c>
      <c r="G152">
        <v>46.4</v>
      </c>
      <c r="H152" s="1" t="s">
        <v>101</v>
      </c>
      <c r="I152" s="1" t="s">
        <v>23</v>
      </c>
      <c r="J152" s="2">
        <v>45438</v>
      </c>
      <c r="K152" s="1" t="s">
        <v>24</v>
      </c>
      <c r="L152" s="1">
        <f>IF(Subscriptions[[#This Row],[churned]]="Yes",1,0)</f>
        <v>1</v>
      </c>
      <c r="M152" s="2">
        <v>45632</v>
      </c>
      <c r="N152" s="1" t="s">
        <v>66</v>
      </c>
      <c r="O152">
        <v>7</v>
      </c>
      <c r="P152">
        <v>5</v>
      </c>
      <c r="Q152">
        <v>15</v>
      </c>
      <c r="R152" s="1" t="s">
        <v>26</v>
      </c>
    </row>
    <row r="153" spans="1:18" x14ac:dyDescent="0.35">
      <c r="A153" s="1" t="s">
        <v>209</v>
      </c>
      <c r="B153" s="1" t="s">
        <v>37</v>
      </c>
      <c r="C153" s="1" t="s">
        <v>28</v>
      </c>
      <c r="D153" s="1" t="s">
        <v>20</v>
      </c>
      <c r="E153" s="1" t="s">
        <v>34</v>
      </c>
      <c r="F153">
        <v>199</v>
      </c>
      <c r="G153">
        <v>5192.8999999999996</v>
      </c>
      <c r="H153" s="1" t="s">
        <v>35</v>
      </c>
      <c r="I153" s="1" t="s">
        <v>23</v>
      </c>
      <c r="J153" s="2">
        <v>45086</v>
      </c>
      <c r="K153" s="1" t="s">
        <v>24</v>
      </c>
      <c r="L153" s="1">
        <f>IF(Subscriptions[[#This Row],[churned]]="Yes",1,0)</f>
        <v>1</v>
      </c>
      <c r="M153" s="2">
        <v>45526</v>
      </c>
      <c r="N153" s="1" t="s">
        <v>49</v>
      </c>
      <c r="O153">
        <v>4</v>
      </c>
      <c r="P153">
        <v>5</v>
      </c>
      <c r="Q153">
        <v>36</v>
      </c>
      <c r="R153" s="1" t="s">
        <v>26</v>
      </c>
    </row>
    <row r="154" spans="1:18" x14ac:dyDescent="0.35">
      <c r="A154" s="1" t="s">
        <v>210</v>
      </c>
      <c r="B154" s="1" t="s">
        <v>32</v>
      </c>
      <c r="C154" s="1" t="s">
        <v>19</v>
      </c>
      <c r="D154" s="1" t="s">
        <v>20</v>
      </c>
      <c r="E154" s="1" t="s">
        <v>45</v>
      </c>
      <c r="F154">
        <v>6</v>
      </c>
      <c r="G154">
        <v>50.75</v>
      </c>
      <c r="H154" s="1" t="s">
        <v>35</v>
      </c>
      <c r="I154" s="1" t="s">
        <v>23</v>
      </c>
      <c r="J154" s="2">
        <v>45786</v>
      </c>
      <c r="K154" s="1" t="s">
        <v>24</v>
      </c>
      <c r="L154" s="1">
        <f>IF(Subscriptions[[#This Row],[churned]]="Yes",1,0)</f>
        <v>1</v>
      </c>
      <c r="M154" s="2">
        <v>45991</v>
      </c>
      <c r="N154" s="1" t="s">
        <v>56</v>
      </c>
      <c r="O154">
        <v>8</v>
      </c>
      <c r="P154">
        <v>4</v>
      </c>
      <c r="Q154">
        <v>18</v>
      </c>
      <c r="R154" s="1" t="s">
        <v>26</v>
      </c>
    </row>
    <row r="155" spans="1:18" x14ac:dyDescent="0.35">
      <c r="A155" s="1" t="s">
        <v>211</v>
      </c>
      <c r="B155" s="1" t="s">
        <v>18</v>
      </c>
      <c r="C155" s="1" t="s">
        <v>28</v>
      </c>
      <c r="D155" s="1" t="s">
        <v>71</v>
      </c>
      <c r="E155" s="1" t="s">
        <v>45</v>
      </c>
      <c r="F155">
        <v>1</v>
      </c>
      <c r="G155">
        <v>67.150000000000006</v>
      </c>
      <c r="H155" s="1" t="s">
        <v>35</v>
      </c>
      <c r="I155" s="1" t="s">
        <v>40</v>
      </c>
      <c r="J155" s="2">
        <v>45515</v>
      </c>
      <c r="K155" s="1" t="s">
        <v>24</v>
      </c>
      <c r="L155" s="1">
        <f>IF(Subscriptions[[#This Row],[churned]]="Yes",1,0)</f>
        <v>1</v>
      </c>
      <c r="M155" s="2">
        <v>45714</v>
      </c>
      <c r="N155" s="1" t="s">
        <v>49</v>
      </c>
      <c r="O155">
        <v>1</v>
      </c>
      <c r="P155">
        <v>5</v>
      </c>
      <c r="Q155">
        <v>14</v>
      </c>
      <c r="R155" s="1" t="s">
        <v>26</v>
      </c>
    </row>
    <row r="156" spans="1:18" x14ac:dyDescent="0.35">
      <c r="A156" s="1" t="s">
        <v>212</v>
      </c>
      <c r="B156" s="1" t="s">
        <v>32</v>
      </c>
      <c r="C156" s="1" t="s">
        <v>19</v>
      </c>
      <c r="D156" s="1" t="s">
        <v>82</v>
      </c>
      <c r="E156" s="1" t="s">
        <v>34</v>
      </c>
      <c r="F156">
        <v>230</v>
      </c>
      <c r="G156">
        <v>1025.1500000000001</v>
      </c>
      <c r="H156" s="1" t="s">
        <v>46</v>
      </c>
      <c r="I156" s="1" t="s">
        <v>58</v>
      </c>
      <c r="J156" s="2">
        <v>44848</v>
      </c>
      <c r="K156" s="1" t="s">
        <v>24</v>
      </c>
      <c r="L156" s="1">
        <f>IF(Subscriptions[[#This Row],[churned]]="Yes",1,0)</f>
        <v>1</v>
      </c>
      <c r="M156" s="2">
        <v>45385</v>
      </c>
      <c r="N156" s="1" t="s">
        <v>25</v>
      </c>
      <c r="O156">
        <v>6</v>
      </c>
      <c r="P156">
        <v>2</v>
      </c>
      <c r="Q156">
        <v>35</v>
      </c>
      <c r="R156" s="1" t="s">
        <v>26</v>
      </c>
    </row>
    <row r="157" spans="1:18" x14ac:dyDescent="0.35">
      <c r="A157" s="1" t="s">
        <v>213</v>
      </c>
      <c r="B157" s="1" t="s">
        <v>37</v>
      </c>
      <c r="C157" s="1" t="s">
        <v>19</v>
      </c>
      <c r="D157" s="1" t="s">
        <v>55</v>
      </c>
      <c r="E157" s="1" t="s">
        <v>39</v>
      </c>
      <c r="F157">
        <v>7</v>
      </c>
      <c r="G157">
        <v>378.1</v>
      </c>
      <c r="H157" s="1" t="s">
        <v>22</v>
      </c>
      <c r="I157" s="1" t="s">
        <v>23</v>
      </c>
      <c r="J157" s="2">
        <v>45555</v>
      </c>
      <c r="K157" s="1" t="s">
        <v>26</v>
      </c>
      <c r="L157" s="1">
        <f>IF(Subscriptions[[#This Row],[churned]]="Yes",1,0)</f>
        <v>0</v>
      </c>
      <c r="M157" s="2"/>
      <c r="N157" s="1" t="s">
        <v>30</v>
      </c>
      <c r="O157">
        <v>4</v>
      </c>
      <c r="P157">
        <v>5</v>
      </c>
      <c r="Q157">
        <v>83</v>
      </c>
      <c r="R157" s="1" t="s">
        <v>26</v>
      </c>
    </row>
    <row r="158" spans="1:18" x14ac:dyDescent="0.35">
      <c r="A158" s="1" t="s">
        <v>214</v>
      </c>
      <c r="B158" s="1" t="s">
        <v>18</v>
      </c>
      <c r="C158" s="1" t="s">
        <v>28</v>
      </c>
      <c r="D158" s="1" t="s">
        <v>65</v>
      </c>
      <c r="E158" s="1" t="s">
        <v>45</v>
      </c>
      <c r="F158">
        <v>5</v>
      </c>
      <c r="G158">
        <v>107.44</v>
      </c>
      <c r="H158" s="1" t="s">
        <v>29</v>
      </c>
      <c r="I158" s="1" t="s">
        <v>40</v>
      </c>
      <c r="J158" s="2">
        <v>45144</v>
      </c>
      <c r="K158" s="1" t="s">
        <v>26</v>
      </c>
      <c r="L158" s="1">
        <f>IF(Subscriptions[[#This Row],[churned]]="Yes",1,0)</f>
        <v>0</v>
      </c>
      <c r="M158" s="2"/>
      <c r="N158" s="1" t="s">
        <v>30</v>
      </c>
      <c r="O158">
        <v>9</v>
      </c>
      <c r="P158">
        <v>2</v>
      </c>
      <c r="Q158">
        <v>80</v>
      </c>
      <c r="R158" s="1" t="s">
        <v>26</v>
      </c>
    </row>
    <row r="159" spans="1:18" x14ac:dyDescent="0.35">
      <c r="A159" s="1" t="s">
        <v>215</v>
      </c>
      <c r="B159" s="1" t="s">
        <v>74</v>
      </c>
      <c r="C159" s="1" t="s">
        <v>19</v>
      </c>
      <c r="D159" s="1" t="s">
        <v>44</v>
      </c>
      <c r="E159" s="1" t="s">
        <v>39</v>
      </c>
      <c r="F159">
        <v>20</v>
      </c>
      <c r="G159">
        <v>1921.15</v>
      </c>
      <c r="H159" s="1" t="s">
        <v>22</v>
      </c>
      <c r="I159" s="1" t="s">
        <v>72</v>
      </c>
      <c r="J159" s="2">
        <v>45034</v>
      </c>
      <c r="K159" s="1" t="s">
        <v>26</v>
      </c>
      <c r="L159" s="1">
        <f>IF(Subscriptions[[#This Row],[churned]]="Yes",1,0)</f>
        <v>0</v>
      </c>
      <c r="M159" s="2"/>
      <c r="N159" s="1" t="s">
        <v>30</v>
      </c>
      <c r="O159">
        <v>6</v>
      </c>
      <c r="P159">
        <v>2</v>
      </c>
      <c r="Q159">
        <v>35</v>
      </c>
      <c r="R159" s="1" t="s">
        <v>26</v>
      </c>
    </row>
    <row r="160" spans="1:18" x14ac:dyDescent="0.35">
      <c r="A160" s="1" t="s">
        <v>216</v>
      </c>
      <c r="B160" s="1" t="s">
        <v>32</v>
      </c>
      <c r="C160" s="1" t="s">
        <v>28</v>
      </c>
      <c r="D160" s="1" t="s">
        <v>42</v>
      </c>
      <c r="E160" s="1" t="s">
        <v>21</v>
      </c>
      <c r="F160">
        <v>66</v>
      </c>
      <c r="G160">
        <v>264.99</v>
      </c>
      <c r="H160" s="1" t="s">
        <v>46</v>
      </c>
      <c r="I160" s="1" t="s">
        <v>58</v>
      </c>
      <c r="J160" s="2">
        <v>45955</v>
      </c>
      <c r="K160" s="1" t="s">
        <v>26</v>
      </c>
      <c r="L160" s="1">
        <f>IF(Subscriptions[[#This Row],[churned]]="Yes",1,0)</f>
        <v>0</v>
      </c>
      <c r="M160" s="2"/>
      <c r="N160" s="1" t="s">
        <v>30</v>
      </c>
      <c r="O160">
        <v>8</v>
      </c>
      <c r="P160">
        <v>8</v>
      </c>
      <c r="Q160">
        <v>30</v>
      </c>
      <c r="R160" s="1" t="s">
        <v>26</v>
      </c>
    </row>
    <row r="161" spans="1:18" x14ac:dyDescent="0.35">
      <c r="A161" s="1" t="s">
        <v>217</v>
      </c>
      <c r="B161" s="1" t="s">
        <v>18</v>
      </c>
      <c r="C161" s="1" t="s">
        <v>28</v>
      </c>
      <c r="D161" s="1" t="s">
        <v>71</v>
      </c>
      <c r="E161" s="1" t="s">
        <v>21</v>
      </c>
      <c r="F161">
        <v>71</v>
      </c>
      <c r="G161">
        <v>772.22</v>
      </c>
      <c r="H161" s="1" t="s">
        <v>22</v>
      </c>
      <c r="I161" s="1" t="s">
        <v>58</v>
      </c>
      <c r="J161" s="2">
        <v>45664</v>
      </c>
      <c r="K161" s="1" t="s">
        <v>26</v>
      </c>
      <c r="L161" s="1">
        <f>IF(Subscriptions[[#This Row],[churned]]="Yes",1,0)</f>
        <v>0</v>
      </c>
      <c r="M161" s="2"/>
      <c r="N161" s="1" t="s">
        <v>30</v>
      </c>
      <c r="O161">
        <v>9</v>
      </c>
      <c r="P161">
        <v>5</v>
      </c>
      <c r="Q161">
        <v>93</v>
      </c>
      <c r="R161" s="1" t="s">
        <v>26</v>
      </c>
    </row>
    <row r="162" spans="1:18" x14ac:dyDescent="0.35">
      <c r="A162" s="1" t="s">
        <v>218</v>
      </c>
      <c r="B162" s="1" t="s">
        <v>37</v>
      </c>
      <c r="C162" s="1" t="s">
        <v>28</v>
      </c>
      <c r="D162" s="1" t="s">
        <v>65</v>
      </c>
      <c r="E162" s="1" t="s">
        <v>45</v>
      </c>
      <c r="F162">
        <v>4</v>
      </c>
      <c r="G162">
        <v>245.27</v>
      </c>
      <c r="H162" s="1" t="s">
        <v>35</v>
      </c>
      <c r="I162" s="1" t="s">
        <v>40</v>
      </c>
      <c r="J162" s="2">
        <v>45637</v>
      </c>
      <c r="K162" s="1" t="s">
        <v>24</v>
      </c>
      <c r="L162" s="1">
        <f>IF(Subscriptions[[#This Row],[churned]]="Yes",1,0)</f>
        <v>1</v>
      </c>
      <c r="M162" s="2">
        <v>45766</v>
      </c>
      <c r="N162" s="1" t="s">
        <v>25</v>
      </c>
      <c r="O162">
        <v>0</v>
      </c>
      <c r="P162">
        <v>6</v>
      </c>
      <c r="Q162">
        <v>28</v>
      </c>
      <c r="R162" s="1" t="s">
        <v>26</v>
      </c>
    </row>
    <row r="163" spans="1:18" x14ac:dyDescent="0.35">
      <c r="A163" s="1" t="s">
        <v>219</v>
      </c>
      <c r="B163" s="1" t="s">
        <v>32</v>
      </c>
      <c r="C163" s="1" t="s">
        <v>19</v>
      </c>
      <c r="D163" s="1" t="s">
        <v>33</v>
      </c>
      <c r="E163" s="1" t="s">
        <v>34</v>
      </c>
      <c r="F163">
        <v>150</v>
      </c>
      <c r="G163">
        <v>677.15</v>
      </c>
      <c r="H163" s="1" t="s">
        <v>63</v>
      </c>
      <c r="I163" s="1" t="s">
        <v>40</v>
      </c>
      <c r="J163" s="2">
        <v>44782</v>
      </c>
      <c r="K163" s="1" t="s">
        <v>24</v>
      </c>
      <c r="L163" s="1">
        <f>IF(Subscriptions[[#This Row],[churned]]="Yes",1,0)</f>
        <v>1</v>
      </c>
      <c r="M163" s="2">
        <v>45256</v>
      </c>
      <c r="N163" s="1" t="s">
        <v>56</v>
      </c>
      <c r="O163">
        <v>0</v>
      </c>
      <c r="P163">
        <v>3</v>
      </c>
      <c r="Q163">
        <v>44</v>
      </c>
      <c r="R163" s="1" t="s">
        <v>26</v>
      </c>
    </row>
    <row r="164" spans="1:18" x14ac:dyDescent="0.35">
      <c r="A164" s="1" t="s">
        <v>220</v>
      </c>
      <c r="B164" s="1" t="s">
        <v>32</v>
      </c>
      <c r="C164" s="1" t="s">
        <v>28</v>
      </c>
      <c r="D164" s="1" t="s">
        <v>42</v>
      </c>
      <c r="E164" s="1" t="s">
        <v>45</v>
      </c>
      <c r="F164">
        <v>2</v>
      </c>
      <c r="G164">
        <v>28.35</v>
      </c>
      <c r="H164" s="1" t="s">
        <v>63</v>
      </c>
      <c r="I164" s="1" t="s">
        <v>58</v>
      </c>
      <c r="J164" s="2">
        <v>45685</v>
      </c>
      <c r="K164" s="1" t="s">
        <v>26</v>
      </c>
      <c r="L164" s="1">
        <f>IF(Subscriptions[[#This Row],[churned]]="Yes",1,0)</f>
        <v>0</v>
      </c>
      <c r="M164" s="2"/>
      <c r="N164" s="1" t="s">
        <v>30</v>
      </c>
      <c r="O164">
        <v>3</v>
      </c>
      <c r="P164">
        <v>8</v>
      </c>
      <c r="Q164">
        <v>20</v>
      </c>
      <c r="R164" s="1" t="s">
        <v>26</v>
      </c>
    </row>
    <row r="165" spans="1:18" x14ac:dyDescent="0.35">
      <c r="A165" s="1" t="s">
        <v>221</v>
      </c>
      <c r="B165" s="1" t="s">
        <v>32</v>
      </c>
      <c r="C165" s="1" t="s">
        <v>28</v>
      </c>
      <c r="D165" s="1" t="s">
        <v>55</v>
      </c>
      <c r="E165" s="1" t="s">
        <v>34</v>
      </c>
      <c r="F165">
        <v>220</v>
      </c>
      <c r="G165">
        <v>834.4</v>
      </c>
      <c r="H165" s="1" t="s">
        <v>22</v>
      </c>
      <c r="I165" s="1" t="s">
        <v>40</v>
      </c>
      <c r="J165" s="2">
        <v>45157</v>
      </c>
      <c r="K165" s="1" t="s">
        <v>24</v>
      </c>
      <c r="L165" s="1">
        <f>IF(Subscriptions[[#This Row],[churned]]="Yes",1,0)</f>
        <v>1</v>
      </c>
      <c r="M165" s="2">
        <v>45819</v>
      </c>
      <c r="N165" s="1" t="s">
        <v>53</v>
      </c>
      <c r="O165">
        <v>4</v>
      </c>
      <c r="P165">
        <v>3</v>
      </c>
      <c r="Q165">
        <v>12</v>
      </c>
      <c r="R165" s="1" t="s">
        <v>26</v>
      </c>
    </row>
    <row r="166" spans="1:18" x14ac:dyDescent="0.35">
      <c r="A166" s="1" t="s">
        <v>222</v>
      </c>
      <c r="B166" s="1" t="s">
        <v>32</v>
      </c>
      <c r="C166" s="1" t="s">
        <v>28</v>
      </c>
      <c r="D166" s="1" t="s">
        <v>38</v>
      </c>
      <c r="E166" s="1" t="s">
        <v>48</v>
      </c>
      <c r="F166">
        <v>34</v>
      </c>
      <c r="G166">
        <v>146.66999999999999</v>
      </c>
      <c r="H166" s="1" t="s">
        <v>22</v>
      </c>
      <c r="I166" s="1" t="s">
        <v>58</v>
      </c>
      <c r="J166" s="2">
        <v>45488</v>
      </c>
      <c r="K166" s="1" t="s">
        <v>26</v>
      </c>
      <c r="L166" s="1">
        <f>IF(Subscriptions[[#This Row],[churned]]="Yes",1,0)</f>
        <v>0</v>
      </c>
      <c r="M166" s="2"/>
      <c r="N166" s="1" t="s">
        <v>30</v>
      </c>
      <c r="O166">
        <v>12</v>
      </c>
      <c r="P166">
        <v>5</v>
      </c>
      <c r="Q166">
        <v>60</v>
      </c>
      <c r="R166" s="1" t="s">
        <v>26</v>
      </c>
    </row>
    <row r="167" spans="1:18" x14ac:dyDescent="0.35">
      <c r="A167" s="1" t="s">
        <v>223</v>
      </c>
      <c r="B167" s="1" t="s">
        <v>32</v>
      </c>
      <c r="C167" s="1" t="s">
        <v>19</v>
      </c>
      <c r="D167" s="1" t="s">
        <v>55</v>
      </c>
      <c r="E167" s="1" t="s">
        <v>45</v>
      </c>
      <c r="F167">
        <v>1</v>
      </c>
      <c r="G167">
        <v>29</v>
      </c>
      <c r="H167" s="1" t="s">
        <v>101</v>
      </c>
      <c r="I167" s="1" t="s">
        <v>40</v>
      </c>
      <c r="J167" s="2">
        <v>45187</v>
      </c>
      <c r="K167" s="1" t="s">
        <v>24</v>
      </c>
      <c r="L167" s="1">
        <f>IF(Subscriptions[[#This Row],[churned]]="Yes",1,0)</f>
        <v>1</v>
      </c>
      <c r="M167" s="2">
        <v>45682</v>
      </c>
      <c r="N167" s="1" t="s">
        <v>66</v>
      </c>
      <c r="O167">
        <v>7</v>
      </c>
      <c r="P167">
        <v>5</v>
      </c>
      <c r="Q167">
        <v>20</v>
      </c>
      <c r="R167" s="1" t="s">
        <v>26</v>
      </c>
    </row>
    <row r="168" spans="1:18" x14ac:dyDescent="0.35">
      <c r="A168" s="1" t="s">
        <v>224</v>
      </c>
      <c r="B168" s="1" t="s">
        <v>32</v>
      </c>
      <c r="C168" s="1" t="s">
        <v>28</v>
      </c>
      <c r="D168" s="1" t="s">
        <v>71</v>
      </c>
      <c r="E168" s="1" t="s">
        <v>21</v>
      </c>
      <c r="F168">
        <v>40</v>
      </c>
      <c r="G168">
        <v>168.85</v>
      </c>
      <c r="H168" s="1" t="s">
        <v>22</v>
      </c>
      <c r="I168" s="1" t="s">
        <v>23</v>
      </c>
      <c r="J168" s="2">
        <v>45650</v>
      </c>
      <c r="K168" s="1" t="s">
        <v>26</v>
      </c>
      <c r="L168" s="1">
        <f>IF(Subscriptions[[#This Row],[churned]]="Yes",1,0)</f>
        <v>0</v>
      </c>
      <c r="M168" s="2"/>
      <c r="N168" s="1" t="s">
        <v>30</v>
      </c>
      <c r="O168">
        <v>10</v>
      </c>
      <c r="P168">
        <v>6</v>
      </c>
      <c r="Q168">
        <v>35</v>
      </c>
      <c r="R168" s="1" t="s">
        <v>26</v>
      </c>
    </row>
    <row r="169" spans="1:18" x14ac:dyDescent="0.35">
      <c r="A169" s="1" t="s">
        <v>225</v>
      </c>
      <c r="B169" s="1" t="s">
        <v>37</v>
      </c>
      <c r="C169" s="1" t="s">
        <v>19</v>
      </c>
      <c r="D169" s="1" t="s">
        <v>71</v>
      </c>
      <c r="E169" s="1" t="s">
        <v>39</v>
      </c>
      <c r="F169">
        <v>29</v>
      </c>
      <c r="G169">
        <v>1034.8</v>
      </c>
      <c r="H169" s="1" t="s">
        <v>35</v>
      </c>
      <c r="I169" s="1" t="s">
        <v>40</v>
      </c>
      <c r="J169" s="2">
        <v>45021</v>
      </c>
      <c r="K169" s="1" t="s">
        <v>24</v>
      </c>
      <c r="L169" s="1">
        <f>IF(Subscriptions[[#This Row],[churned]]="Yes",1,0)</f>
        <v>1</v>
      </c>
      <c r="M169" s="2">
        <v>45045</v>
      </c>
      <c r="N169" s="1" t="s">
        <v>66</v>
      </c>
      <c r="O169">
        <v>12</v>
      </c>
      <c r="P169">
        <v>6</v>
      </c>
      <c r="Q169">
        <v>45</v>
      </c>
      <c r="R169" s="1" t="s">
        <v>26</v>
      </c>
    </row>
    <row r="170" spans="1:18" x14ac:dyDescent="0.35">
      <c r="A170" s="1" t="s">
        <v>226</v>
      </c>
      <c r="B170" s="1" t="s">
        <v>37</v>
      </c>
      <c r="C170" s="1" t="s">
        <v>28</v>
      </c>
      <c r="D170" s="1" t="s">
        <v>82</v>
      </c>
      <c r="E170" s="1" t="s">
        <v>39</v>
      </c>
      <c r="F170">
        <v>5</v>
      </c>
      <c r="G170">
        <v>270.64</v>
      </c>
      <c r="H170" s="1" t="s">
        <v>63</v>
      </c>
      <c r="I170" s="1" t="s">
        <v>23</v>
      </c>
      <c r="J170" s="2">
        <v>45266</v>
      </c>
      <c r="K170" s="1" t="s">
        <v>26</v>
      </c>
      <c r="L170" s="1">
        <f>IF(Subscriptions[[#This Row],[churned]]="Yes",1,0)</f>
        <v>0</v>
      </c>
      <c r="M170" s="2"/>
      <c r="N170" s="1" t="s">
        <v>30</v>
      </c>
      <c r="O170">
        <v>0</v>
      </c>
      <c r="P170">
        <v>1</v>
      </c>
      <c r="Q170">
        <v>55</v>
      </c>
      <c r="R170" s="1" t="s">
        <v>24</v>
      </c>
    </row>
    <row r="171" spans="1:18" x14ac:dyDescent="0.35">
      <c r="A171" s="1" t="s">
        <v>227</v>
      </c>
      <c r="B171" s="1" t="s">
        <v>37</v>
      </c>
      <c r="C171" s="1" t="s">
        <v>19</v>
      </c>
      <c r="D171" s="1" t="s">
        <v>52</v>
      </c>
      <c r="E171" s="1" t="s">
        <v>39</v>
      </c>
      <c r="F171">
        <v>32</v>
      </c>
      <c r="G171">
        <v>1124.3499999999999</v>
      </c>
      <c r="H171" s="1" t="s">
        <v>101</v>
      </c>
      <c r="I171" s="1" t="s">
        <v>58</v>
      </c>
      <c r="J171" s="2">
        <v>45582</v>
      </c>
      <c r="K171" s="1" t="s">
        <v>26</v>
      </c>
      <c r="L171" s="1">
        <f>IF(Subscriptions[[#This Row],[churned]]="Yes",1,0)</f>
        <v>0</v>
      </c>
      <c r="M171" s="2"/>
      <c r="N171" s="1" t="s">
        <v>30</v>
      </c>
      <c r="O171">
        <v>1</v>
      </c>
      <c r="P171">
        <v>1</v>
      </c>
      <c r="Q171">
        <v>91</v>
      </c>
      <c r="R171" s="1" t="s">
        <v>26</v>
      </c>
    </row>
    <row r="172" spans="1:18" x14ac:dyDescent="0.35">
      <c r="A172" s="1" t="s">
        <v>228</v>
      </c>
      <c r="B172" s="1" t="s">
        <v>32</v>
      </c>
      <c r="C172" s="1" t="s">
        <v>19</v>
      </c>
      <c r="D172" s="1" t="s">
        <v>33</v>
      </c>
      <c r="E172" s="1" t="s">
        <v>45</v>
      </c>
      <c r="F172">
        <v>7</v>
      </c>
      <c r="G172">
        <v>55.1</v>
      </c>
      <c r="H172" s="1" t="s">
        <v>22</v>
      </c>
      <c r="I172" s="1" t="s">
        <v>40</v>
      </c>
      <c r="J172" s="2">
        <v>44822</v>
      </c>
      <c r="K172" s="1" t="s">
        <v>24</v>
      </c>
      <c r="L172" s="1">
        <f>IF(Subscriptions[[#This Row],[churned]]="Yes",1,0)</f>
        <v>1</v>
      </c>
      <c r="M172" s="2">
        <v>45138</v>
      </c>
      <c r="N172" s="1" t="s">
        <v>56</v>
      </c>
      <c r="O172">
        <v>3</v>
      </c>
      <c r="P172">
        <v>2</v>
      </c>
      <c r="Q172">
        <v>24</v>
      </c>
      <c r="R172" s="1" t="s">
        <v>26</v>
      </c>
    </row>
    <row r="173" spans="1:18" x14ac:dyDescent="0.35">
      <c r="A173" s="1" t="s">
        <v>229</v>
      </c>
      <c r="B173" s="1" t="s">
        <v>37</v>
      </c>
      <c r="C173" s="1" t="s">
        <v>19</v>
      </c>
      <c r="D173" s="1" t="s">
        <v>55</v>
      </c>
      <c r="E173" s="1" t="s">
        <v>45</v>
      </c>
      <c r="F173">
        <v>5</v>
      </c>
      <c r="G173">
        <v>318.39999999999998</v>
      </c>
      <c r="H173" s="1" t="s">
        <v>46</v>
      </c>
      <c r="I173" s="1" t="s">
        <v>23</v>
      </c>
      <c r="J173" s="2">
        <v>44752</v>
      </c>
      <c r="K173" s="1" t="s">
        <v>24</v>
      </c>
      <c r="L173" s="1">
        <f>IF(Subscriptions[[#This Row],[churned]]="Yes",1,0)</f>
        <v>1</v>
      </c>
      <c r="M173" s="2">
        <v>45420</v>
      </c>
      <c r="N173" s="1" t="s">
        <v>66</v>
      </c>
      <c r="O173">
        <v>14</v>
      </c>
      <c r="P173">
        <v>3</v>
      </c>
      <c r="Q173">
        <v>38</v>
      </c>
      <c r="R173" s="1" t="s">
        <v>26</v>
      </c>
    </row>
    <row r="174" spans="1:18" x14ac:dyDescent="0.35">
      <c r="A174" s="1" t="s">
        <v>230</v>
      </c>
      <c r="B174" s="1" t="s">
        <v>18</v>
      </c>
      <c r="C174" s="1" t="s">
        <v>28</v>
      </c>
      <c r="D174" s="1" t="s">
        <v>52</v>
      </c>
      <c r="E174" s="1" t="s">
        <v>45</v>
      </c>
      <c r="F174">
        <v>6</v>
      </c>
      <c r="G174">
        <v>117.51</v>
      </c>
      <c r="H174" s="1" t="s">
        <v>101</v>
      </c>
      <c r="I174" s="1" t="s">
        <v>58</v>
      </c>
      <c r="J174" s="2">
        <v>45549</v>
      </c>
      <c r="K174" s="1" t="s">
        <v>26</v>
      </c>
      <c r="L174" s="1">
        <f>IF(Subscriptions[[#This Row],[churned]]="Yes",1,0)</f>
        <v>0</v>
      </c>
      <c r="M174" s="2"/>
      <c r="N174" s="1" t="s">
        <v>30</v>
      </c>
      <c r="O174">
        <v>12</v>
      </c>
      <c r="P174">
        <v>9</v>
      </c>
      <c r="Q174">
        <v>38</v>
      </c>
      <c r="R174" s="1" t="s">
        <v>26</v>
      </c>
    </row>
    <row r="175" spans="1:18" x14ac:dyDescent="0.35">
      <c r="A175" s="1" t="s">
        <v>231</v>
      </c>
      <c r="B175" s="1" t="s">
        <v>74</v>
      </c>
      <c r="C175" s="1" t="s">
        <v>28</v>
      </c>
      <c r="D175" s="1" t="s">
        <v>65</v>
      </c>
      <c r="E175" s="1" t="s">
        <v>48</v>
      </c>
      <c r="F175">
        <v>65</v>
      </c>
      <c r="G175">
        <v>4495.99</v>
      </c>
      <c r="H175" s="1" t="s">
        <v>63</v>
      </c>
      <c r="I175" s="1" t="s">
        <v>23</v>
      </c>
      <c r="J175" s="2">
        <v>45626</v>
      </c>
      <c r="K175" s="1" t="s">
        <v>26</v>
      </c>
      <c r="L175" s="1">
        <f>IF(Subscriptions[[#This Row],[churned]]="Yes",1,0)</f>
        <v>0</v>
      </c>
      <c r="M175" s="2"/>
      <c r="N175" s="1" t="s">
        <v>30</v>
      </c>
      <c r="O175">
        <v>10</v>
      </c>
      <c r="P175">
        <v>2</v>
      </c>
      <c r="Q175">
        <v>91</v>
      </c>
      <c r="R175" s="1" t="s">
        <v>26</v>
      </c>
    </row>
    <row r="176" spans="1:18" x14ac:dyDescent="0.35">
      <c r="A176" s="1" t="s">
        <v>232</v>
      </c>
      <c r="B176" s="1" t="s">
        <v>37</v>
      </c>
      <c r="C176" s="1" t="s">
        <v>28</v>
      </c>
      <c r="D176" s="1" t="s">
        <v>82</v>
      </c>
      <c r="E176" s="1" t="s">
        <v>21</v>
      </c>
      <c r="F176">
        <v>50</v>
      </c>
      <c r="G176">
        <v>1412.4</v>
      </c>
      <c r="H176" s="1" t="s">
        <v>29</v>
      </c>
      <c r="I176" s="1" t="s">
        <v>23</v>
      </c>
      <c r="J176" s="2">
        <v>44845</v>
      </c>
      <c r="K176" s="1" t="s">
        <v>26</v>
      </c>
      <c r="L176" s="1">
        <f>IF(Subscriptions[[#This Row],[churned]]="Yes",1,0)</f>
        <v>0</v>
      </c>
      <c r="M176" s="2"/>
      <c r="N176" s="1" t="s">
        <v>30</v>
      </c>
      <c r="O176">
        <v>12</v>
      </c>
      <c r="P176">
        <v>8</v>
      </c>
      <c r="Q176">
        <v>26</v>
      </c>
      <c r="R176" s="1" t="s">
        <v>26</v>
      </c>
    </row>
    <row r="177" spans="1:18" x14ac:dyDescent="0.35">
      <c r="A177" s="1" t="s">
        <v>233</v>
      </c>
      <c r="B177" s="1" t="s">
        <v>32</v>
      </c>
      <c r="C177" s="1" t="s">
        <v>19</v>
      </c>
      <c r="D177" s="1" t="s">
        <v>52</v>
      </c>
      <c r="E177" s="1" t="s">
        <v>34</v>
      </c>
      <c r="F177">
        <v>205</v>
      </c>
      <c r="G177">
        <v>916.4</v>
      </c>
      <c r="H177" s="1" t="s">
        <v>101</v>
      </c>
      <c r="I177" s="1" t="s">
        <v>23</v>
      </c>
      <c r="J177" s="2">
        <v>45144</v>
      </c>
      <c r="K177" s="1" t="s">
        <v>24</v>
      </c>
      <c r="L177" s="1">
        <f>IF(Subscriptions[[#This Row],[churned]]="Yes",1,0)</f>
        <v>1</v>
      </c>
      <c r="M177" s="2">
        <v>45180</v>
      </c>
      <c r="N177" s="1" t="s">
        <v>56</v>
      </c>
      <c r="O177">
        <v>7</v>
      </c>
      <c r="P177">
        <v>3</v>
      </c>
      <c r="Q177">
        <v>19</v>
      </c>
      <c r="R177" s="1" t="s">
        <v>26</v>
      </c>
    </row>
    <row r="178" spans="1:18" x14ac:dyDescent="0.35">
      <c r="A178" s="1" t="s">
        <v>234</v>
      </c>
      <c r="B178" s="1" t="s">
        <v>18</v>
      </c>
      <c r="C178" s="1" t="s">
        <v>19</v>
      </c>
      <c r="D178" s="1" t="s">
        <v>44</v>
      </c>
      <c r="E178" s="1" t="s">
        <v>34</v>
      </c>
      <c r="F178">
        <v>239</v>
      </c>
      <c r="G178">
        <v>2899.3</v>
      </c>
      <c r="H178" s="1" t="s">
        <v>35</v>
      </c>
      <c r="I178" s="1" t="s">
        <v>58</v>
      </c>
      <c r="J178" s="2">
        <v>45632</v>
      </c>
      <c r="K178" s="1" t="s">
        <v>24</v>
      </c>
      <c r="L178" s="1">
        <f>IF(Subscriptions[[#This Row],[churned]]="Yes",1,0)</f>
        <v>1</v>
      </c>
      <c r="M178" s="2">
        <v>45970</v>
      </c>
      <c r="N178" s="1" t="s">
        <v>49</v>
      </c>
      <c r="O178">
        <v>4</v>
      </c>
      <c r="P178">
        <v>6</v>
      </c>
      <c r="Q178">
        <v>14</v>
      </c>
      <c r="R178" s="1" t="s">
        <v>26</v>
      </c>
    </row>
    <row r="179" spans="1:18" x14ac:dyDescent="0.35">
      <c r="A179" s="1" t="s">
        <v>235</v>
      </c>
      <c r="B179" s="1" t="s">
        <v>18</v>
      </c>
      <c r="C179" s="1" t="s">
        <v>28</v>
      </c>
      <c r="D179" s="1" t="s">
        <v>42</v>
      </c>
      <c r="E179" s="1" t="s">
        <v>39</v>
      </c>
      <c r="F179">
        <v>31</v>
      </c>
      <c r="G179">
        <v>369.33</v>
      </c>
      <c r="H179" s="1" t="s">
        <v>29</v>
      </c>
      <c r="I179" s="1" t="s">
        <v>58</v>
      </c>
      <c r="J179" s="2">
        <v>45546</v>
      </c>
      <c r="K179" s="1" t="s">
        <v>26</v>
      </c>
      <c r="L179" s="1">
        <f>IF(Subscriptions[[#This Row],[churned]]="Yes",1,0)</f>
        <v>0</v>
      </c>
      <c r="M179" s="2"/>
      <c r="N179" s="1" t="s">
        <v>30</v>
      </c>
      <c r="O179">
        <v>4</v>
      </c>
      <c r="P179">
        <v>6</v>
      </c>
      <c r="Q179">
        <v>81</v>
      </c>
      <c r="R179" s="1" t="s">
        <v>26</v>
      </c>
    </row>
    <row r="180" spans="1:18" x14ac:dyDescent="0.35">
      <c r="A180" s="1" t="s">
        <v>236</v>
      </c>
      <c r="B180" s="1" t="s">
        <v>32</v>
      </c>
      <c r="C180" s="1" t="s">
        <v>19</v>
      </c>
      <c r="D180" s="1" t="s">
        <v>82</v>
      </c>
      <c r="E180" s="1" t="s">
        <v>21</v>
      </c>
      <c r="F180">
        <v>67</v>
      </c>
      <c r="G180">
        <v>316.10000000000002</v>
      </c>
      <c r="H180" s="1" t="s">
        <v>46</v>
      </c>
      <c r="I180" s="1" t="s">
        <v>40</v>
      </c>
      <c r="J180" s="2">
        <v>45468</v>
      </c>
      <c r="K180" s="1" t="s">
        <v>26</v>
      </c>
      <c r="L180" s="1">
        <f>IF(Subscriptions[[#This Row],[churned]]="Yes",1,0)</f>
        <v>0</v>
      </c>
      <c r="M180" s="2"/>
      <c r="N180" s="1" t="s">
        <v>30</v>
      </c>
      <c r="O180">
        <v>3</v>
      </c>
      <c r="P180">
        <v>10</v>
      </c>
      <c r="Q180">
        <v>26</v>
      </c>
      <c r="R180" s="1" t="s">
        <v>26</v>
      </c>
    </row>
    <row r="181" spans="1:18" x14ac:dyDescent="0.35">
      <c r="A181" s="1" t="s">
        <v>237</v>
      </c>
      <c r="B181" s="1" t="s">
        <v>18</v>
      </c>
      <c r="C181" s="1" t="s">
        <v>28</v>
      </c>
      <c r="D181" s="1" t="s">
        <v>38</v>
      </c>
      <c r="E181" s="1" t="s">
        <v>21</v>
      </c>
      <c r="F181">
        <v>29</v>
      </c>
      <c r="G181">
        <v>349.18</v>
      </c>
      <c r="H181" s="1" t="s">
        <v>46</v>
      </c>
      <c r="I181" s="1" t="s">
        <v>23</v>
      </c>
      <c r="J181" s="2">
        <v>44846</v>
      </c>
      <c r="K181" s="1" t="s">
        <v>24</v>
      </c>
      <c r="L181" s="1">
        <f>IF(Subscriptions[[#This Row],[churned]]="Yes",1,0)</f>
        <v>1</v>
      </c>
      <c r="M181" s="2">
        <v>45741</v>
      </c>
      <c r="N181" s="1" t="s">
        <v>56</v>
      </c>
      <c r="O181">
        <v>2</v>
      </c>
      <c r="P181">
        <v>5</v>
      </c>
      <c r="Q181">
        <v>42</v>
      </c>
      <c r="R181" s="1" t="s">
        <v>26</v>
      </c>
    </row>
    <row r="182" spans="1:18" x14ac:dyDescent="0.35">
      <c r="A182" s="1" t="s">
        <v>238</v>
      </c>
      <c r="B182" s="1" t="s">
        <v>18</v>
      </c>
      <c r="C182" s="1" t="s">
        <v>19</v>
      </c>
      <c r="D182" s="1" t="s">
        <v>65</v>
      </c>
      <c r="E182" s="1" t="s">
        <v>45</v>
      </c>
      <c r="F182">
        <v>4</v>
      </c>
      <c r="G182">
        <v>114.55</v>
      </c>
      <c r="H182" s="1" t="s">
        <v>63</v>
      </c>
      <c r="I182" s="1" t="s">
        <v>23</v>
      </c>
      <c r="J182" s="2">
        <v>45330</v>
      </c>
      <c r="K182" s="1" t="s">
        <v>24</v>
      </c>
      <c r="L182" s="1">
        <f>IF(Subscriptions[[#This Row],[churned]]="Yes",1,0)</f>
        <v>1</v>
      </c>
      <c r="M182" s="2">
        <v>45405</v>
      </c>
      <c r="N182" s="1" t="s">
        <v>25</v>
      </c>
      <c r="O182">
        <v>9</v>
      </c>
      <c r="P182">
        <v>4</v>
      </c>
      <c r="Q182">
        <v>44</v>
      </c>
      <c r="R182" s="1" t="s">
        <v>26</v>
      </c>
    </row>
    <row r="183" spans="1:18" x14ac:dyDescent="0.35">
      <c r="A183" s="1" t="s">
        <v>239</v>
      </c>
      <c r="B183" s="1" t="s">
        <v>18</v>
      </c>
      <c r="C183" s="1" t="s">
        <v>28</v>
      </c>
      <c r="D183" s="1" t="s">
        <v>38</v>
      </c>
      <c r="E183" s="1" t="s">
        <v>21</v>
      </c>
      <c r="F183">
        <v>76</v>
      </c>
      <c r="G183">
        <v>822.59</v>
      </c>
      <c r="H183" s="1" t="s">
        <v>35</v>
      </c>
      <c r="I183" s="1" t="s">
        <v>40</v>
      </c>
      <c r="J183" s="2">
        <v>45414</v>
      </c>
      <c r="K183" s="1" t="s">
        <v>26</v>
      </c>
      <c r="L183" s="1">
        <f>IF(Subscriptions[[#This Row],[churned]]="Yes",1,0)</f>
        <v>0</v>
      </c>
      <c r="M183" s="2"/>
      <c r="N183" s="1" t="s">
        <v>30</v>
      </c>
      <c r="O183">
        <v>9</v>
      </c>
      <c r="P183">
        <v>6</v>
      </c>
      <c r="Q183">
        <v>37</v>
      </c>
      <c r="R183" s="1" t="s">
        <v>26</v>
      </c>
    </row>
    <row r="184" spans="1:18" x14ac:dyDescent="0.35">
      <c r="A184" s="1" t="s">
        <v>240</v>
      </c>
      <c r="B184" s="1" t="s">
        <v>32</v>
      </c>
      <c r="C184" s="1" t="s">
        <v>28</v>
      </c>
      <c r="D184" s="1" t="s">
        <v>65</v>
      </c>
      <c r="E184" s="1" t="s">
        <v>48</v>
      </c>
      <c r="F184">
        <v>83</v>
      </c>
      <c r="G184">
        <v>327.84</v>
      </c>
      <c r="H184" s="1" t="s">
        <v>35</v>
      </c>
      <c r="I184" s="1" t="s">
        <v>23</v>
      </c>
      <c r="J184" s="2">
        <v>45200</v>
      </c>
      <c r="K184" s="1" t="s">
        <v>24</v>
      </c>
      <c r="L184" s="1">
        <f>IF(Subscriptions[[#This Row],[churned]]="Yes",1,0)</f>
        <v>1</v>
      </c>
      <c r="M184" s="2">
        <v>45663</v>
      </c>
      <c r="N184" s="1" t="s">
        <v>56</v>
      </c>
      <c r="O184">
        <v>8</v>
      </c>
      <c r="P184">
        <v>4</v>
      </c>
      <c r="Q184">
        <v>26</v>
      </c>
      <c r="R184" s="1" t="s">
        <v>26</v>
      </c>
    </row>
    <row r="185" spans="1:18" x14ac:dyDescent="0.35">
      <c r="A185" s="1" t="s">
        <v>241</v>
      </c>
      <c r="B185" s="1" t="s">
        <v>32</v>
      </c>
      <c r="C185" s="1" t="s">
        <v>19</v>
      </c>
      <c r="D185" s="1" t="s">
        <v>42</v>
      </c>
      <c r="E185" s="1" t="s">
        <v>45</v>
      </c>
      <c r="F185">
        <v>7</v>
      </c>
      <c r="G185">
        <v>55.1</v>
      </c>
      <c r="H185" s="1" t="s">
        <v>35</v>
      </c>
      <c r="I185" s="1" t="s">
        <v>40</v>
      </c>
      <c r="J185" s="2">
        <v>45616</v>
      </c>
      <c r="K185" s="1" t="s">
        <v>26</v>
      </c>
      <c r="L185" s="1">
        <f>IF(Subscriptions[[#This Row],[churned]]="Yes",1,0)</f>
        <v>0</v>
      </c>
      <c r="M185" s="2"/>
      <c r="N185" s="1" t="s">
        <v>30</v>
      </c>
      <c r="O185">
        <v>8</v>
      </c>
      <c r="P185">
        <v>2</v>
      </c>
      <c r="Q185">
        <v>63</v>
      </c>
      <c r="R185" s="1" t="s">
        <v>26</v>
      </c>
    </row>
    <row r="186" spans="1:18" x14ac:dyDescent="0.35">
      <c r="A186" s="1" t="s">
        <v>242</v>
      </c>
      <c r="B186" s="1" t="s">
        <v>18</v>
      </c>
      <c r="C186" s="1" t="s">
        <v>28</v>
      </c>
      <c r="D186" s="1" t="s">
        <v>52</v>
      </c>
      <c r="E186" s="1" t="s">
        <v>48</v>
      </c>
      <c r="F186">
        <v>96</v>
      </c>
      <c r="G186">
        <v>1024.04</v>
      </c>
      <c r="H186" s="1" t="s">
        <v>46</v>
      </c>
      <c r="I186" s="1" t="s">
        <v>23</v>
      </c>
      <c r="J186" s="2">
        <v>45978</v>
      </c>
      <c r="K186" s="1" t="s">
        <v>26</v>
      </c>
      <c r="L186" s="1">
        <f>IF(Subscriptions[[#This Row],[churned]]="Yes",1,0)</f>
        <v>0</v>
      </c>
      <c r="M186" s="2"/>
      <c r="N186" s="1" t="s">
        <v>30</v>
      </c>
      <c r="O186">
        <v>3</v>
      </c>
      <c r="P186">
        <v>8</v>
      </c>
      <c r="Q186">
        <v>48</v>
      </c>
      <c r="R186" s="1" t="s">
        <v>26</v>
      </c>
    </row>
    <row r="187" spans="1:18" x14ac:dyDescent="0.35">
      <c r="A187" s="1" t="s">
        <v>243</v>
      </c>
      <c r="B187" s="1" t="s">
        <v>37</v>
      </c>
      <c r="C187" s="1" t="s">
        <v>19</v>
      </c>
      <c r="D187" s="1" t="s">
        <v>33</v>
      </c>
      <c r="E187" s="1" t="s">
        <v>45</v>
      </c>
      <c r="F187">
        <v>6</v>
      </c>
      <c r="G187">
        <v>348.25</v>
      </c>
      <c r="H187" s="1" t="s">
        <v>35</v>
      </c>
      <c r="I187" s="1" t="s">
        <v>58</v>
      </c>
      <c r="J187" s="2">
        <v>45833</v>
      </c>
      <c r="K187" s="1" t="s">
        <v>24</v>
      </c>
      <c r="L187" s="1">
        <f>IF(Subscriptions[[#This Row],[churned]]="Yes",1,0)</f>
        <v>1</v>
      </c>
      <c r="M187" s="2">
        <v>45989</v>
      </c>
      <c r="N187" s="1" t="s">
        <v>56</v>
      </c>
      <c r="O187">
        <v>3</v>
      </c>
      <c r="P187">
        <v>2</v>
      </c>
      <c r="Q187">
        <v>17</v>
      </c>
      <c r="R187" s="1" t="s">
        <v>26</v>
      </c>
    </row>
    <row r="188" spans="1:18" x14ac:dyDescent="0.35">
      <c r="A188" s="1" t="s">
        <v>244</v>
      </c>
      <c r="B188" s="1" t="s">
        <v>18</v>
      </c>
      <c r="C188" s="1" t="s">
        <v>19</v>
      </c>
      <c r="D188" s="1" t="s">
        <v>65</v>
      </c>
      <c r="E188" s="1" t="s">
        <v>45</v>
      </c>
      <c r="F188">
        <v>4</v>
      </c>
      <c r="G188">
        <v>114.55</v>
      </c>
      <c r="H188" s="1" t="s">
        <v>63</v>
      </c>
      <c r="I188" s="1" t="s">
        <v>58</v>
      </c>
      <c r="J188" s="2">
        <v>45545</v>
      </c>
      <c r="K188" s="1" t="s">
        <v>24</v>
      </c>
      <c r="L188" s="1">
        <f>IF(Subscriptions[[#This Row],[churned]]="Yes",1,0)</f>
        <v>1</v>
      </c>
      <c r="M188" s="2">
        <v>45626</v>
      </c>
      <c r="N188" s="1" t="s">
        <v>25</v>
      </c>
      <c r="O188">
        <v>9</v>
      </c>
      <c r="P188">
        <v>3</v>
      </c>
      <c r="Q188">
        <v>24</v>
      </c>
      <c r="R188" s="1" t="s">
        <v>26</v>
      </c>
    </row>
    <row r="189" spans="1:18" x14ac:dyDescent="0.35">
      <c r="A189" s="1" t="s">
        <v>245</v>
      </c>
      <c r="B189" s="1" t="s">
        <v>37</v>
      </c>
      <c r="C189" s="1" t="s">
        <v>19</v>
      </c>
      <c r="D189" s="1" t="s">
        <v>55</v>
      </c>
      <c r="E189" s="1" t="s">
        <v>39</v>
      </c>
      <c r="F189">
        <v>28</v>
      </c>
      <c r="G189">
        <v>1004.95</v>
      </c>
      <c r="H189" s="1" t="s">
        <v>46</v>
      </c>
      <c r="I189" s="1" t="s">
        <v>58</v>
      </c>
      <c r="J189" s="2">
        <v>44784</v>
      </c>
      <c r="K189" s="1" t="s">
        <v>24</v>
      </c>
      <c r="L189" s="1">
        <f>IF(Subscriptions[[#This Row],[churned]]="Yes",1,0)</f>
        <v>1</v>
      </c>
      <c r="M189" s="2">
        <v>45650</v>
      </c>
      <c r="N189" s="1" t="s">
        <v>53</v>
      </c>
      <c r="O189">
        <v>13</v>
      </c>
      <c r="P189">
        <v>4</v>
      </c>
      <c r="Q189">
        <v>15</v>
      </c>
      <c r="R189" s="1" t="s">
        <v>26</v>
      </c>
    </row>
    <row r="190" spans="1:18" x14ac:dyDescent="0.35">
      <c r="A190" s="1" t="s">
        <v>246</v>
      </c>
      <c r="B190" s="1" t="s">
        <v>32</v>
      </c>
      <c r="C190" s="1" t="s">
        <v>19</v>
      </c>
      <c r="D190" s="1" t="s">
        <v>82</v>
      </c>
      <c r="E190" s="1" t="s">
        <v>48</v>
      </c>
      <c r="F190">
        <v>141</v>
      </c>
      <c r="G190">
        <v>638</v>
      </c>
      <c r="H190" s="1" t="s">
        <v>29</v>
      </c>
      <c r="I190" s="1" t="s">
        <v>23</v>
      </c>
      <c r="J190" s="2">
        <v>45911</v>
      </c>
      <c r="K190" s="1" t="s">
        <v>26</v>
      </c>
      <c r="L190" s="1">
        <f>IF(Subscriptions[[#This Row],[churned]]="Yes",1,0)</f>
        <v>0</v>
      </c>
      <c r="M190" s="2"/>
      <c r="N190" s="1" t="s">
        <v>30</v>
      </c>
      <c r="O190">
        <v>11</v>
      </c>
      <c r="P190">
        <v>4</v>
      </c>
      <c r="Q190">
        <v>88</v>
      </c>
      <c r="R190" s="1" t="s">
        <v>26</v>
      </c>
    </row>
    <row r="191" spans="1:18" x14ac:dyDescent="0.35">
      <c r="A191" s="1" t="s">
        <v>247</v>
      </c>
      <c r="B191" s="1" t="s">
        <v>18</v>
      </c>
      <c r="C191" s="1" t="s">
        <v>19</v>
      </c>
      <c r="D191" s="1" t="s">
        <v>82</v>
      </c>
      <c r="E191" s="1" t="s">
        <v>21</v>
      </c>
      <c r="F191">
        <v>70</v>
      </c>
      <c r="G191">
        <v>896.65</v>
      </c>
      <c r="H191" s="1" t="s">
        <v>101</v>
      </c>
      <c r="I191" s="1" t="s">
        <v>23</v>
      </c>
      <c r="J191" s="2">
        <v>45117</v>
      </c>
      <c r="K191" s="1" t="s">
        <v>26</v>
      </c>
      <c r="L191" s="1">
        <f>IF(Subscriptions[[#This Row],[churned]]="Yes",1,0)</f>
        <v>0</v>
      </c>
      <c r="M191" s="2"/>
      <c r="N191" s="1" t="s">
        <v>30</v>
      </c>
      <c r="O191">
        <v>7</v>
      </c>
      <c r="P191">
        <v>10</v>
      </c>
      <c r="Q191">
        <v>63</v>
      </c>
      <c r="R191" s="1" t="s">
        <v>26</v>
      </c>
    </row>
    <row r="192" spans="1:18" x14ac:dyDescent="0.35">
      <c r="A192" s="1" t="s">
        <v>248</v>
      </c>
      <c r="B192" s="1" t="s">
        <v>32</v>
      </c>
      <c r="C192" s="1" t="s">
        <v>19</v>
      </c>
      <c r="D192" s="1" t="s">
        <v>52</v>
      </c>
      <c r="E192" s="1" t="s">
        <v>39</v>
      </c>
      <c r="F192">
        <v>30</v>
      </c>
      <c r="G192">
        <v>155.15</v>
      </c>
      <c r="H192" s="1" t="s">
        <v>35</v>
      </c>
      <c r="I192" s="1" t="s">
        <v>23</v>
      </c>
      <c r="J192" s="2">
        <v>44916</v>
      </c>
      <c r="K192" s="1" t="s">
        <v>24</v>
      </c>
      <c r="L192" s="1">
        <f>IF(Subscriptions[[#This Row],[churned]]="Yes",1,0)</f>
        <v>1</v>
      </c>
      <c r="M192" s="2">
        <v>44951</v>
      </c>
      <c r="N192" s="1" t="s">
        <v>66</v>
      </c>
      <c r="O192">
        <v>15</v>
      </c>
      <c r="P192">
        <v>2</v>
      </c>
      <c r="Q192">
        <v>23</v>
      </c>
      <c r="R192" s="1" t="s">
        <v>26</v>
      </c>
    </row>
    <row r="193" spans="1:18" x14ac:dyDescent="0.35">
      <c r="A193" s="1" t="s">
        <v>249</v>
      </c>
      <c r="B193" s="1" t="s">
        <v>37</v>
      </c>
      <c r="C193" s="1" t="s">
        <v>19</v>
      </c>
      <c r="D193" s="1" t="s">
        <v>38</v>
      </c>
      <c r="E193" s="1" t="s">
        <v>21</v>
      </c>
      <c r="F193">
        <v>74</v>
      </c>
      <c r="G193">
        <v>2378.0500000000002</v>
      </c>
      <c r="H193" s="1" t="s">
        <v>101</v>
      </c>
      <c r="I193" s="1" t="s">
        <v>23</v>
      </c>
      <c r="J193" s="2">
        <v>44636</v>
      </c>
      <c r="K193" s="1" t="s">
        <v>26</v>
      </c>
      <c r="L193" s="1">
        <f>IF(Subscriptions[[#This Row],[churned]]="Yes",1,0)</f>
        <v>0</v>
      </c>
      <c r="M193" s="2"/>
      <c r="N193" s="1" t="s">
        <v>30</v>
      </c>
      <c r="O193">
        <v>8</v>
      </c>
      <c r="P193">
        <v>10</v>
      </c>
      <c r="Q193">
        <v>46</v>
      </c>
      <c r="R193" s="1" t="s">
        <v>24</v>
      </c>
    </row>
    <row r="194" spans="1:18" x14ac:dyDescent="0.35">
      <c r="A194" s="1" t="s">
        <v>250</v>
      </c>
      <c r="B194" s="1" t="s">
        <v>74</v>
      </c>
      <c r="C194" s="1" t="s">
        <v>19</v>
      </c>
      <c r="D194" s="1" t="s">
        <v>20</v>
      </c>
      <c r="E194" s="1" t="s">
        <v>39</v>
      </c>
      <c r="F194">
        <v>33</v>
      </c>
      <c r="G194">
        <v>2894.2</v>
      </c>
      <c r="H194" s="1" t="s">
        <v>101</v>
      </c>
      <c r="I194" s="1" t="s">
        <v>23</v>
      </c>
      <c r="J194" s="2">
        <v>45553</v>
      </c>
      <c r="K194" s="1" t="s">
        <v>26</v>
      </c>
      <c r="L194" s="1">
        <f>IF(Subscriptions[[#This Row],[churned]]="Yes",1,0)</f>
        <v>0</v>
      </c>
      <c r="M194" s="2"/>
      <c r="N194" s="1" t="s">
        <v>30</v>
      </c>
      <c r="O194">
        <v>0</v>
      </c>
      <c r="P194">
        <v>1</v>
      </c>
      <c r="Q194">
        <v>43</v>
      </c>
      <c r="R194" s="1" t="s">
        <v>24</v>
      </c>
    </row>
    <row r="195" spans="1:18" x14ac:dyDescent="0.35">
      <c r="A195" s="1" t="s">
        <v>251</v>
      </c>
      <c r="B195" s="1" t="s">
        <v>32</v>
      </c>
      <c r="C195" s="1" t="s">
        <v>28</v>
      </c>
      <c r="D195" s="1" t="s">
        <v>33</v>
      </c>
      <c r="E195" s="1" t="s">
        <v>34</v>
      </c>
      <c r="F195">
        <v>225</v>
      </c>
      <c r="G195">
        <v>852.89</v>
      </c>
      <c r="H195" s="1" t="s">
        <v>46</v>
      </c>
      <c r="I195" s="1" t="s">
        <v>40</v>
      </c>
      <c r="J195" s="2">
        <v>44984</v>
      </c>
      <c r="K195" s="1" t="s">
        <v>26</v>
      </c>
      <c r="L195" s="1">
        <f>IF(Subscriptions[[#This Row],[churned]]="Yes",1,0)</f>
        <v>0</v>
      </c>
      <c r="M195" s="2"/>
      <c r="N195" s="1" t="s">
        <v>30</v>
      </c>
      <c r="O195">
        <v>6</v>
      </c>
      <c r="P195">
        <v>9</v>
      </c>
      <c r="Q195">
        <v>50</v>
      </c>
      <c r="R195" s="1" t="s">
        <v>24</v>
      </c>
    </row>
    <row r="196" spans="1:18" x14ac:dyDescent="0.35">
      <c r="A196" s="1" t="s">
        <v>252</v>
      </c>
      <c r="B196" s="1" t="s">
        <v>32</v>
      </c>
      <c r="C196" s="1" t="s">
        <v>28</v>
      </c>
      <c r="D196" s="1" t="s">
        <v>65</v>
      </c>
      <c r="E196" s="1" t="s">
        <v>45</v>
      </c>
      <c r="F196">
        <v>3</v>
      </c>
      <c r="G196">
        <v>32.049999999999997</v>
      </c>
      <c r="H196" s="1" t="s">
        <v>63</v>
      </c>
      <c r="I196" s="1" t="s">
        <v>23</v>
      </c>
      <c r="J196" s="2">
        <v>45220</v>
      </c>
      <c r="K196" s="1" t="s">
        <v>24</v>
      </c>
      <c r="L196" s="1">
        <f>IF(Subscriptions[[#This Row],[churned]]="Yes",1,0)</f>
        <v>1</v>
      </c>
      <c r="M196" s="2">
        <v>45492</v>
      </c>
      <c r="N196" s="1" t="s">
        <v>56</v>
      </c>
      <c r="O196">
        <v>4</v>
      </c>
      <c r="P196">
        <v>5</v>
      </c>
      <c r="Q196">
        <v>33</v>
      </c>
      <c r="R196" s="1" t="s">
        <v>26</v>
      </c>
    </row>
    <row r="197" spans="1:18" x14ac:dyDescent="0.35">
      <c r="A197" s="1" t="s">
        <v>253</v>
      </c>
      <c r="B197" s="1" t="s">
        <v>18</v>
      </c>
      <c r="C197" s="1" t="s">
        <v>28</v>
      </c>
      <c r="D197" s="1" t="s">
        <v>52</v>
      </c>
      <c r="E197" s="1" t="s">
        <v>39</v>
      </c>
      <c r="F197">
        <v>20</v>
      </c>
      <c r="G197">
        <v>258.52999999999997</v>
      </c>
      <c r="H197" s="1" t="s">
        <v>63</v>
      </c>
      <c r="I197" s="1" t="s">
        <v>40</v>
      </c>
      <c r="J197" s="2">
        <v>45722</v>
      </c>
      <c r="K197" s="1" t="s">
        <v>26</v>
      </c>
      <c r="L197" s="1">
        <f>IF(Subscriptions[[#This Row],[churned]]="Yes",1,0)</f>
        <v>0</v>
      </c>
      <c r="M197" s="2"/>
      <c r="N197" s="1" t="s">
        <v>30</v>
      </c>
      <c r="O197">
        <v>6</v>
      </c>
      <c r="P197">
        <v>7</v>
      </c>
      <c r="Q197">
        <v>95</v>
      </c>
      <c r="R197" s="1" t="s">
        <v>26</v>
      </c>
    </row>
    <row r="198" spans="1:18" x14ac:dyDescent="0.35">
      <c r="A198" s="1" t="s">
        <v>254</v>
      </c>
      <c r="B198" s="1" t="s">
        <v>74</v>
      </c>
      <c r="C198" s="1" t="s">
        <v>19</v>
      </c>
      <c r="D198" s="1" t="s">
        <v>82</v>
      </c>
      <c r="E198" s="1" t="s">
        <v>45</v>
      </c>
      <c r="F198">
        <v>1</v>
      </c>
      <c r="G198">
        <v>499</v>
      </c>
      <c r="H198" s="1" t="s">
        <v>22</v>
      </c>
      <c r="I198" s="1" t="s">
        <v>58</v>
      </c>
      <c r="J198" s="2">
        <v>44645</v>
      </c>
      <c r="K198" s="1" t="s">
        <v>26</v>
      </c>
      <c r="L198" s="1">
        <f>IF(Subscriptions[[#This Row],[churned]]="Yes",1,0)</f>
        <v>0</v>
      </c>
      <c r="M198" s="2"/>
      <c r="N198" s="1" t="s">
        <v>30</v>
      </c>
      <c r="O198">
        <v>8</v>
      </c>
      <c r="P198">
        <v>7</v>
      </c>
      <c r="Q198">
        <v>32</v>
      </c>
      <c r="R198" s="1" t="s">
        <v>26</v>
      </c>
    </row>
    <row r="199" spans="1:18" x14ac:dyDescent="0.35">
      <c r="A199" s="1" t="s">
        <v>255</v>
      </c>
      <c r="B199" s="1" t="s">
        <v>32</v>
      </c>
      <c r="C199" s="1" t="s">
        <v>19</v>
      </c>
      <c r="D199" s="1" t="s">
        <v>55</v>
      </c>
      <c r="E199" s="1" t="s">
        <v>21</v>
      </c>
      <c r="F199">
        <v>21</v>
      </c>
      <c r="G199">
        <v>116</v>
      </c>
      <c r="H199" s="1" t="s">
        <v>46</v>
      </c>
      <c r="I199" s="1" t="s">
        <v>40</v>
      </c>
      <c r="J199" s="2">
        <v>45035</v>
      </c>
      <c r="K199" s="1" t="s">
        <v>24</v>
      </c>
      <c r="L199" s="1">
        <f>IF(Subscriptions[[#This Row],[churned]]="Yes",1,0)</f>
        <v>1</v>
      </c>
      <c r="M199" s="2">
        <v>45672</v>
      </c>
      <c r="N199" s="1" t="s">
        <v>85</v>
      </c>
      <c r="O199">
        <v>0</v>
      </c>
      <c r="P199">
        <v>1</v>
      </c>
      <c r="Q199">
        <v>15</v>
      </c>
      <c r="R199" s="1" t="s">
        <v>26</v>
      </c>
    </row>
    <row r="200" spans="1:18" x14ac:dyDescent="0.35">
      <c r="A200" s="1" t="s">
        <v>256</v>
      </c>
      <c r="B200" s="1" t="s">
        <v>18</v>
      </c>
      <c r="C200" s="1" t="s">
        <v>28</v>
      </c>
      <c r="D200" s="1" t="s">
        <v>71</v>
      </c>
      <c r="E200" s="1" t="s">
        <v>45</v>
      </c>
      <c r="F200">
        <v>4</v>
      </c>
      <c r="G200">
        <v>97.37</v>
      </c>
      <c r="H200" s="1" t="s">
        <v>63</v>
      </c>
      <c r="I200" s="1" t="s">
        <v>23</v>
      </c>
      <c r="J200" s="2">
        <v>45719</v>
      </c>
      <c r="K200" s="1" t="s">
        <v>26</v>
      </c>
      <c r="L200" s="1">
        <f>IF(Subscriptions[[#This Row],[churned]]="Yes",1,0)</f>
        <v>0</v>
      </c>
      <c r="M200" s="2"/>
      <c r="N200" s="1" t="s">
        <v>30</v>
      </c>
      <c r="O200">
        <v>2</v>
      </c>
      <c r="P200">
        <v>4</v>
      </c>
      <c r="Q200">
        <v>36</v>
      </c>
      <c r="R200" s="1" t="s">
        <v>26</v>
      </c>
    </row>
    <row r="201" spans="1:18" x14ac:dyDescent="0.35">
      <c r="A201" s="1" t="s">
        <v>257</v>
      </c>
      <c r="B201" s="1" t="s">
        <v>18</v>
      </c>
      <c r="C201" s="1" t="s">
        <v>28</v>
      </c>
      <c r="D201" s="1" t="s">
        <v>65</v>
      </c>
      <c r="E201" s="1" t="s">
        <v>48</v>
      </c>
      <c r="F201">
        <v>35</v>
      </c>
      <c r="G201">
        <v>409.62</v>
      </c>
      <c r="H201" s="1" t="s">
        <v>22</v>
      </c>
      <c r="I201" s="1" t="s">
        <v>23</v>
      </c>
      <c r="J201" s="2">
        <v>44858</v>
      </c>
      <c r="K201" s="1" t="s">
        <v>24</v>
      </c>
      <c r="L201" s="1">
        <f>IF(Subscriptions[[#This Row],[churned]]="Yes",1,0)</f>
        <v>1</v>
      </c>
      <c r="M201" s="2">
        <v>45598</v>
      </c>
      <c r="N201" s="1" t="s">
        <v>85</v>
      </c>
      <c r="O201">
        <v>15</v>
      </c>
      <c r="P201">
        <v>1</v>
      </c>
      <c r="Q201">
        <v>21</v>
      </c>
      <c r="R201" s="1" t="s">
        <v>26</v>
      </c>
    </row>
    <row r="202" spans="1:18" x14ac:dyDescent="0.35">
      <c r="A202" s="1" t="s">
        <v>258</v>
      </c>
      <c r="B202" s="1" t="s">
        <v>32</v>
      </c>
      <c r="C202" s="1" t="s">
        <v>19</v>
      </c>
      <c r="D202" s="1" t="s">
        <v>52</v>
      </c>
      <c r="E202" s="1" t="s">
        <v>39</v>
      </c>
      <c r="F202">
        <v>13</v>
      </c>
      <c r="G202">
        <v>81.2</v>
      </c>
      <c r="H202" s="1" t="s">
        <v>35</v>
      </c>
      <c r="I202" s="1" t="s">
        <v>40</v>
      </c>
      <c r="J202" s="2">
        <v>45105</v>
      </c>
      <c r="K202" s="1" t="s">
        <v>24</v>
      </c>
      <c r="L202" s="1">
        <f>IF(Subscriptions[[#This Row],[churned]]="Yes",1,0)</f>
        <v>1</v>
      </c>
      <c r="M202" s="2">
        <v>45578</v>
      </c>
      <c r="N202" s="1" t="s">
        <v>56</v>
      </c>
      <c r="O202">
        <v>15</v>
      </c>
      <c r="P202">
        <v>1</v>
      </c>
      <c r="Q202">
        <v>44</v>
      </c>
      <c r="R202" s="1" t="s">
        <v>26</v>
      </c>
    </row>
    <row r="203" spans="1:18" x14ac:dyDescent="0.35">
      <c r="A203" s="1" t="s">
        <v>259</v>
      </c>
      <c r="B203" s="1" t="s">
        <v>32</v>
      </c>
      <c r="C203" s="1" t="s">
        <v>19</v>
      </c>
      <c r="D203" s="1" t="s">
        <v>71</v>
      </c>
      <c r="E203" s="1" t="s">
        <v>39</v>
      </c>
      <c r="F203">
        <v>30</v>
      </c>
      <c r="G203">
        <v>155.15</v>
      </c>
      <c r="H203" s="1" t="s">
        <v>35</v>
      </c>
      <c r="I203" s="1" t="s">
        <v>72</v>
      </c>
      <c r="J203" s="2">
        <v>45205</v>
      </c>
      <c r="K203" s="1" t="s">
        <v>24</v>
      </c>
      <c r="L203" s="1">
        <f>IF(Subscriptions[[#This Row],[churned]]="Yes",1,0)</f>
        <v>1</v>
      </c>
      <c r="M203" s="2">
        <v>45234</v>
      </c>
      <c r="N203" s="1" t="s">
        <v>25</v>
      </c>
      <c r="O203">
        <v>3</v>
      </c>
      <c r="P203">
        <v>1</v>
      </c>
      <c r="Q203">
        <v>25</v>
      </c>
      <c r="R203" s="1" t="s">
        <v>26</v>
      </c>
    </row>
    <row r="204" spans="1:18" x14ac:dyDescent="0.35">
      <c r="A204" s="1" t="s">
        <v>260</v>
      </c>
      <c r="B204" s="1" t="s">
        <v>37</v>
      </c>
      <c r="C204" s="1" t="s">
        <v>19</v>
      </c>
      <c r="D204" s="1" t="s">
        <v>82</v>
      </c>
      <c r="E204" s="1" t="s">
        <v>45</v>
      </c>
      <c r="F204">
        <v>8</v>
      </c>
      <c r="G204">
        <v>407.95</v>
      </c>
      <c r="H204" s="1" t="s">
        <v>29</v>
      </c>
      <c r="I204" s="1" t="s">
        <v>72</v>
      </c>
      <c r="J204" s="2">
        <v>45137</v>
      </c>
      <c r="K204" s="1" t="s">
        <v>24</v>
      </c>
      <c r="L204" s="1">
        <f>IF(Subscriptions[[#This Row],[churned]]="Yes",1,0)</f>
        <v>1</v>
      </c>
      <c r="M204" s="2">
        <v>45753</v>
      </c>
      <c r="N204" s="1" t="s">
        <v>56</v>
      </c>
      <c r="O204">
        <v>1</v>
      </c>
      <c r="P204">
        <v>5</v>
      </c>
      <c r="Q204">
        <v>12</v>
      </c>
      <c r="R204" s="1" t="s">
        <v>26</v>
      </c>
    </row>
    <row r="205" spans="1:18" x14ac:dyDescent="0.35">
      <c r="A205" s="1" t="s">
        <v>261</v>
      </c>
      <c r="B205" s="1" t="s">
        <v>32</v>
      </c>
      <c r="C205" s="1" t="s">
        <v>19</v>
      </c>
      <c r="D205" s="1" t="s">
        <v>65</v>
      </c>
      <c r="E205" s="1" t="s">
        <v>21</v>
      </c>
      <c r="F205">
        <v>64</v>
      </c>
      <c r="G205">
        <v>303.05</v>
      </c>
      <c r="H205" s="1" t="s">
        <v>35</v>
      </c>
      <c r="I205" s="1" t="s">
        <v>23</v>
      </c>
      <c r="J205" s="2">
        <v>45431</v>
      </c>
      <c r="K205" s="1" t="s">
        <v>24</v>
      </c>
      <c r="L205" s="1">
        <f>IF(Subscriptions[[#This Row],[churned]]="Yes",1,0)</f>
        <v>1</v>
      </c>
      <c r="M205" s="2">
        <v>45493</v>
      </c>
      <c r="N205" s="1" t="s">
        <v>49</v>
      </c>
      <c r="O205">
        <v>11</v>
      </c>
      <c r="P205">
        <v>1</v>
      </c>
      <c r="Q205">
        <v>49</v>
      </c>
      <c r="R205" s="1" t="s">
        <v>26</v>
      </c>
    </row>
    <row r="206" spans="1:18" x14ac:dyDescent="0.35">
      <c r="A206" s="1" t="s">
        <v>262</v>
      </c>
      <c r="B206" s="1" t="s">
        <v>37</v>
      </c>
      <c r="C206" s="1" t="s">
        <v>28</v>
      </c>
      <c r="D206" s="1" t="s">
        <v>55</v>
      </c>
      <c r="E206" s="1" t="s">
        <v>21</v>
      </c>
      <c r="F206">
        <v>67</v>
      </c>
      <c r="G206">
        <v>1843.73</v>
      </c>
      <c r="H206" s="1" t="s">
        <v>22</v>
      </c>
      <c r="I206" s="1" t="s">
        <v>40</v>
      </c>
      <c r="J206" s="2">
        <v>45277</v>
      </c>
      <c r="K206" s="1" t="s">
        <v>26</v>
      </c>
      <c r="L206" s="1">
        <f>IF(Subscriptions[[#This Row],[churned]]="Yes",1,0)</f>
        <v>0</v>
      </c>
      <c r="M206" s="2"/>
      <c r="N206" s="1" t="s">
        <v>30</v>
      </c>
      <c r="O206">
        <v>12</v>
      </c>
      <c r="P206">
        <v>1</v>
      </c>
      <c r="Q206">
        <v>85</v>
      </c>
      <c r="R206" s="1" t="s">
        <v>24</v>
      </c>
    </row>
    <row r="207" spans="1:18" x14ac:dyDescent="0.35">
      <c r="A207" s="1" t="s">
        <v>263</v>
      </c>
      <c r="B207" s="1" t="s">
        <v>32</v>
      </c>
      <c r="C207" s="1" t="s">
        <v>19</v>
      </c>
      <c r="D207" s="1" t="s">
        <v>55</v>
      </c>
      <c r="E207" s="1" t="s">
        <v>48</v>
      </c>
      <c r="F207">
        <v>72</v>
      </c>
      <c r="G207">
        <v>337.85</v>
      </c>
      <c r="H207" s="1" t="s">
        <v>22</v>
      </c>
      <c r="I207" s="1" t="s">
        <v>40</v>
      </c>
      <c r="J207" s="2">
        <v>45374</v>
      </c>
      <c r="K207" s="1" t="s">
        <v>24</v>
      </c>
      <c r="L207" s="1">
        <f>IF(Subscriptions[[#This Row],[churned]]="Yes",1,0)</f>
        <v>1</v>
      </c>
      <c r="M207" s="2">
        <v>45475</v>
      </c>
      <c r="N207" s="1" t="s">
        <v>53</v>
      </c>
      <c r="O207">
        <v>5</v>
      </c>
      <c r="P207">
        <v>6</v>
      </c>
      <c r="Q207">
        <v>33</v>
      </c>
      <c r="R207" s="1" t="s">
        <v>26</v>
      </c>
    </row>
    <row r="208" spans="1:18" x14ac:dyDescent="0.35">
      <c r="A208" s="1" t="s">
        <v>264</v>
      </c>
      <c r="B208" s="1" t="s">
        <v>37</v>
      </c>
      <c r="C208" s="1" t="s">
        <v>19</v>
      </c>
      <c r="D208" s="1" t="s">
        <v>38</v>
      </c>
      <c r="E208" s="1" t="s">
        <v>45</v>
      </c>
      <c r="F208">
        <v>1</v>
      </c>
      <c r="G208">
        <v>199</v>
      </c>
      <c r="H208" s="1" t="s">
        <v>35</v>
      </c>
      <c r="I208" s="1" t="s">
        <v>23</v>
      </c>
      <c r="J208" s="2">
        <v>45018</v>
      </c>
      <c r="K208" s="1" t="s">
        <v>24</v>
      </c>
      <c r="L208" s="1">
        <f>IF(Subscriptions[[#This Row],[churned]]="Yes",1,0)</f>
        <v>1</v>
      </c>
      <c r="M208" s="2">
        <v>45275</v>
      </c>
      <c r="N208" s="1" t="s">
        <v>66</v>
      </c>
      <c r="O208">
        <v>12</v>
      </c>
      <c r="P208">
        <v>2</v>
      </c>
      <c r="Q208">
        <v>16</v>
      </c>
      <c r="R208" s="1" t="s">
        <v>26</v>
      </c>
    </row>
    <row r="209" spans="1:18" x14ac:dyDescent="0.35">
      <c r="A209" s="1" t="s">
        <v>265</v>
      </c>
      <c r="B209" s="1" t="s">
        <v>32</v>
      </c>
      <c r="C209" s="1" t="s">
        <v>19</v>
      </c>
      <c r="D209" s="1" t="s">
        <v>82</v>
      </c>
      <c r="E209" s="1" t="s">
        <v>39</v>
      </c>
      <c r="F209">
        <v>5</v>
      </c>
      <c r="G209">
        <v>46.4</v>
      </c>
      <c r="H209" s="1" t="s">
        <v>46</v>
      </c>
      <c r="I209" s="1" t="s">
        <v>23</v>
      </c>
      <c r="J209" s="2">
        <v>45676</v>
      </c>
      <c r="K209" s="1" t="s">
        <v>24</v>
      </c>
      <c r="L209" s="1">
        <f>IF(Subscriptions[[#This Row],[churned]]="Yes",1,0)</f>
        <v>1</v>
      </c>
      <c r="M209" s="2">
        <v>45841</v>
      </c>
      <c r="N209" s="1" t="s">
        <v>85</v>
      </c>
      <c r="O209">
        <v>8</v>
      </c>
      <c r="P209">
        <v>4</v>
      </c>
      <c r="Q209">
        <v>21</v>
      </c>
      <c r="R209" s="1" t="s">
        <v>26</v>
      </c>
    </row>
    <row r="210" spans="1:18" x14ac:dyDescent="0.35">
      <c r="A210" s="1" t="s">
        <v>266</v>
      </c>
      <c r="B210" s="1" t="s">
        <v>32</v>
      </c>
      <c r="C210" s="1" t="s">
        <v>28</v>
      </c>
      <c r="D210" s="1" t="s">
        <v>55</v>
      </c>
      <c r="E210" s="1" t="s">
        <v>21</v>
      </c>
      <c r="F210">
        <v>46</v>
      </c>
      <c r="G210">
        <v>191.04</v>
      </c>
      <c r="H210" s="1" t="s">
        <v>101</v>
      </c>
      <c r="I210" s="1" t="s">
        <v>40</v>
      </c>
      <c r="J210" s="2">
        <v>44686</v>
      </c>
      <c r="K210" s="1" t="s">
        <v>24</v>
      </c>
      <c r="L210" s="1">
        <f>IF(Subscriptions[[#This Row],[churned]]="Yes",1,0)</f>
        <v>1</v>
      </c>
      <c r="M210" s="2">
        <v>44772</v>
      </c>
      <c r="N210" s="1" t="s">
        <v>59</v>
      </c>
      <c r="O210">
        <v>2</v>
      </c>
      <c r="P210">
        <v>1</v>
      </c>
      <c r="Q210">
        <v>13</v>
      </c>
      <c r="R210" s="1" t="s">
        <v>26</v>
      </c>
    </row>
    <row r="211" spans="1:18" x14ac:dyDescent="0.35">
      <c r="A211" s="1" t="s">
        <v>267</v>
      </c>
      <c r="B211" s="1" t="s">
        <v>74</v>
      </c>
      <c r="C211" s="1" t="s">
        <v>19</v>
      </c>
      <c r="D211" s="1" t="s">
        <v>55</v>
      </c>
      <c r="E211" s="1" t="s">
        <v>21</v>
      </c>
      <c r="F211">
        <v>72</v>
      </c>
      <c r="G211">
        <v>5813.35</v>
      </c>
      <c r="H211" s="1" t="s">
        <v>101</v>
      </c>
      <c r="I211" s="1" t="s">
        <v>23</v>
      </c>
      <c r="J211" s="2">
        <v>44826</v>
      </c>
      <c r="K211" s="1" t="s">
        <v>24</v>
      </c>
      <c r="L211" s="1">
        <f>IF(Subscriptions[[#This Row],[churned]]="Yes",1,0)</f>
        <v>1</v>
      </c>
      <c r="M211" s="2">
        <v>45803</v>
      </c>
      <c r="N211" s="1" t="s">
        <v>25</v>
      </c>
      <c r="O211">
        <v>13</v>
      </c>
      <c r="P211">
        <v>1</v>
      </c>
      <c r="Q211">
        <v>17</v>
      </c>
      <c r="R211" s="1" t="s">
        <v>26</v>
      </c>
    </row>
    <row r="212" spans="1:18" x14ac:dyDescent="0.35">
      <c r="A212" s="1" t="s">
        <v>268</v>
      </c>
      <c r="B212" s="1" t="s">
        <v>74</v>
      </c>
      <c r="C212" s="1" t="s">
        <v>28</v>
      </c>
      <c r="D212" s="1" t="s">
        <v>65</v>
      </c>
      <c r="E212" s="1" t="s">
        <v>48</v>
      </c>
      <c r="F212">
        <v>48</v>
      </c>
      <c r="G212">
        <v>3414.41</v>
      </c>
      <c r="H212" s="1" t="s">
        <v>63</v>
      </c>
      <c r="I212" s="1" t="s">
        <v>23</v>
      </c>
      <c r="J212" s="2">
        <v>45838</v>
      </c>
      <c r="K212" s="1" t="s">
        <v>26</v>
      </c>
      <c r="L212" s="1">
        <f>IF(Subscriptions[[#This Row],[churned]]="Yes",1,0)</f>
        <v>0</v>
      </c>
      <c r="M212" s="2"/>
      <c r="N212" s="1" t="s">
        <v>30</v>
      </c>
      <c r="O212">
        <v>12</v>
      </c>
      <c r="P212">
        <v>2</v>
      </c>
      <c r="Q212">
        <v>23</v>
      </c>
      <c r="R212" s="1" t="s">
        <v>26</v>
      </c>
    </row>
    <row r="213" spans="1:18" x14ac:dyDescent="0.35">
      <c r="A213" s="1" t="s">
        <v>269</v>
      </c>
      <c r="B213" s="1" t="s">
        <v>37</v>
      </c>
      <c r="C213" s="1" t="s">
        <v>28</v>
      </c>
      <c r="D213" s="1" t="s">
        <v>20</v>
      </c>
      <c r="E213" s="1" t="s">
        <v>45</v>
      </c>
      <c r="F213">
        <v>1</v>
      </c>
      <c r="G213">
        <v>169.15</v>
      </c>
      <c r="H213" s="1" t="s">
        <v>35</v>
      </c>
      <c r="I213" s="1" t="s">
        <v>23</v>
      </c>
      <c r="J213" s="2">
        <v>45299</v>
      </c>
      <c r="K213" s="1" t="s">
        <v>26</v>
      </c>
      <c r="L213" s="1">
        <f>IF(Subscriptions[[#This Row],[churned]]="Yes",1,0)</f>
        <v>0</v>
      </c>
      <c r="M213" s="2"/>
      <c r="N213" s="1" t="s">
        <v>30</v>
      </c>
      <c r="O213">
        <v>1</v>
      </c>
      <c r="P213">
        <v>6</v>
      </c>
      <c r="Q213">
        <v>60</v>
      </c>
      <c r="R213" s="1" t="s">
        <v>26</v>
      </c>
    </row>
    <row r="214" spans="1:18" x14ac:dyDescent="0.35">
      <c r="A214" s="1" t="s">
        <v>270</v>
      </c>
      <c r="B214" s="1" t="s">
        <v>37</v>
      </c>
      <c r="C214" s="1" t="s">
        <v>28</v>
      </c>
      <c r="D214" s="1" t="s">
        <v>42</v>
      </c>
      <c r="E214" s="1" t="s">
        <v>34</v>
      </c>
      <c r="F214">
        <v>209</v>
      </c>
      <c r="G214">
        <v>5446.63</v>
      </c>
      <c r="H214" s="1" t="s">
        <v>35</v>
      </c>
      <c r="I214" s="1" t="s">
        <v>23</v>
      </c>
      <c r="J214" s="2">
        <v>45066</v>
      </c>
      <c r="K214" s="1" t="s">
        <v>26</v>
      </c>
      <c r="L214" s="1">
        <f>IF(Subscriptions[[#This Row],[churned]]="Yes",1,0)</f>
        <v>0</v>
      </c>
      <c r="M214" s="2"/>
      <c r="N214" s="1" t="s">
        <v>30</v>
      </c>
      <c r="O214">
        <v>4</v>
      </c>
      <c r="P214">
        <v>2</v>
      </c>
      <c r="Q214">
        <v>31</v>
      </c>
      <c r="R214" s="1" t="s">
        <v>26</v>
      </c>
    </row>
    <row r="215" spans="1:18" x14ac:dyDescent="0.35">
      <c r="A215" s="1" t="s">
        <v>271</v>
      </c>
      <c r="B215" s="1" t="s">
        <v>32</v>
      </c>
      <c r="C215" s="1" t="s">
        <v>19</v>
      </c>
      <c r="D215" s="1" t="s">
        <v>71</v>
      </c>
      <c r="E215" s="1" t="s">
        <v>39</v>
      </c>
      <c r="F215">
        <v>17</v>
      </c>
      <c r="G215">
        <v>98.6</v>
      </c>
      <c r="H215" s="1" t="s">
        <v>46</v>
      </c>
      <c r="I215" s="1" t="s">
        <v>23</v>
      </c>
      <c r="J215" s="2">
        <v>45558</v>
      </c>
      <c r="K215" s="1" t="s">
        <v>24</v>
      </c>
      <c r="L215" s="1">
        <f>IF(Subscriptions[[#This Row],[churned]]="Yes",1,0)</f>
        <v>1</v>
      </c>
      <c r="M215" s="2">
        <v>45880</v>
      </c>
      <c r="N215" s="1" t="s">
        <v>66</v>
      </c>
      <c r="O215">
        <v>4</v>
      </c>
      <c r="P215">
        <v>4</v>
      </c>
      <c r="Q215">
        <v>10</v>
      </c>
      <c r="R215" s="1" t="s">
        <v>26</v>
      </c>
    </row>
    <row r="216" spans="1:18" x14ac:dyDescent="0.35">
      <c r="A216" s="1" t="s">
        <v>272</v>
      </c>
      <c r="B216" s="1" t="s">
        <v>32</v>
      </c>
      <c r="C216" s="1" t="s">
        <v>19</v>
      </c>
      <c r="D216" s="1" t="s">
        <v>82</v>
      </c>
      <c r="E216" s="1" t="s">
        <v>39</v>
      </c>
      <c r="F216">
        <v>21</v>
      </c>
      <c r="G216">
        <v>116</v>
      </c>
      <c r="H216" s="1" t="s">
        <v>29</v>
      </c>
      <c r="I216" s="1" t="s">
        <v>58</v>
      </c>
      <c r="J216" s="2">
        <v>45666</v>
      </c>
      <c r="K216" s="1" t="s">
        <v>24</v>
      </c>
      <c r="L216" s="1">
        <f>IF(Subscriptions[[#This Row],[churned]]="Yes",1,0)</f>
        <v>1</v>
      </c>
      <c r="M216" s="2">
        <v>45837</v>
      </c>
      <c r="N216" s="1" t="s">
        <v>53</v>
      </c>
      <c r="O216">
        <v>15</v>
      </c>
      <c r="P216">
        <v>5</v>
      </c>
      <c r="Q216">
        <v>27</v>
      </c>
      <c r="R216" s="1" t="s">
        <v>26</v>
      </c>
    </row>
    <row r="217" spans="1:18" x14ac:dyDescent="0.35">
      <c r="A217" s="1" t="s">
        <v>273</v>
      </c>
      <c r="B217" s="1" t="s">
        <v>32</v>
      </c>
      <c r="C217" s="1" t="s">
        <v>19</v>
      </c>
      <c r="D217" s="1" t="s">
        <v>33</v>
      </c>
      <c r="E217" s="1" t="s">
        <v>39</v>
      </c>
      <c r="F217">
        <v>15</v>
      </c>
      <c r="G217">
        <v>89.9</v>
      </c>
      <c r="H217" s="1" t="s">
        <v>22</v>
      </c>
      <c r="I217" s="1" t="s">
        <v>23</v>
      </c>
      <c r="J217" s="2">
        <v>45493</v>
      </c>
      <c r="K217" s="1" t="s">
        <v>24</v>
      </c>
      <c r="L217" s="1">
        <f>IF(Subscriptions[[#This Row],[churned]]="Yes",1,0)</f>
        <v>1</v>
      </c>
      <c r="M217" s="2">
        <v>45551</v>
      </c>
      <c r="N217" s="1" t="s">
        <v>49</v>
      </c>
      <c r="O217">
        <v>11</v>
      </c>
      <c r="P217">
        <v>4</v>
      </c>
      <c r="Q217">
        <v>20</v>
      </c>
      <c r="R217" s="1" t="s">
        <v>26</v>
      </c>
    </row>
    <row r="218" spans="1:18" x14ac:dyDescent="0.35">
      <c r="A218" s="1" t="s">
        <v>274</v>
      </c>
      <c r="B218" s="1" t="s">
        <v>18</v>
      </c>
      <c r="C218" s="1" t="s">
        <v>19</v>
      </c>
      <c r="D218" s="1" t="s">
        <v>55</v>
      </c>
      <c r="E218" s="1" t="s">
        <v>21</v>
      </c>
      <c r="F218">
        <v>46</v>
      </c>
      <c r="G218">
        <v>612.25</v>
      </c>
      <c r="H218" s="1" t="s">
        <v>35</v>
      </c>
      <c r="I218" s="1" t="s">
        <v>23</v>
      </c>
      <c r="J218" s="2">
        <v>45387</v>
      </c>
      <c r="K218" s="1" t="s">
        <v>26</v>
      </c>
      <c r="L218" s="1">
        <f>IF(Subscriptions[[#This Row],[churned]]="Yes",1,0)</f>
        <v>0</v>
      </c>
      <c r="M218" s="2"/>
      <c r="N218" s="1" t="s">
        <v>30</v>
      </c>
      <c r="O218">
        <v>3</v>
      </c>
      <c r="P218">
        <v>7</v>
      </c>
      <c r="Q218">
        <v>39</v>
      </c>
      <c r="R218" s="1" t="s">
        <v>26</v>
      </c>
    </row>
    <row r="219" spans="1:18" x14ac:dyDescent="0.35">
      <c r="A219" s="1" t="s">
        <v>275</v>
      </c>
      <c r="B219" s="1" t="s">
        <v>32</v>
      </c>
      <c r="C219" s="1" t="s">
        <v>19</v>
      </c>
      <c r="D219" s="1" t="s">
        <v>33</v>
      </c>
      <c r="E219" s="1" t="s">
        <v>21</v>
      </c>
      <c r="F219">
        <v>22</v>
      </c>
      <c r="G219">
        <v>120.35</v>
      </c>
      <c r="H219" s="1" t="s">
        <v>29</v>
      </c>
      <c r="I219" s="1" t="s">
        <v>23</v>
      </c>
      <c r="J219" s="2">
        <v>44849</v>
      </c>
      <c r="K219" s="1" t="s">
        <v>24</v>
      </c>
      <c r="L219" s="1">
        <f>IF(Subscriptions[[#This Row],[churned]]="Yes",1,0)</f>
        <v>1</v>
      </c>
      <c r="M219" s="2">
        <v>45316</v>
      </c>
      <c r="N219" s="1" t="s">
        <v>59</v>
      </c>
      <c r="O219">
        <v>3</v>
      </c>
      <c r="P219">
        <v>3</v>
      </c>
      <c r="Q219">
        <v>27</v>
      </c>
      <c r="R219" s="1" t="s">
        <v>26</v>
      </c>
    </row>
    <row r="220" spans="1:18" x14ac:dyDescent="0.35">
      <c r="A220" s="1" t="s">
        <v>276</v>
      </c>
      <c r="B220" s="1" t="s">
        <v>32</v>
      </c>
      <c r="C220" s="1" t="s">
        <v>28</v>
      </c>
      <c r="D220" s="1" t="s">
        <v>42</v>
      </c>
      <c r="E220" s="1" t="s">
        <v>45</v>
      </c>
      <c r="F220">
        <v>8</v>
      </c>
      <c r="G220">
        <v>50.53</v>
      </c>
      <c r="H220" s="1" t="s">
        <v>22</v>
      </c>
      <c r="I220" s="1" t="s">
        <v>23</v>
      </c>
      <c r="J220" s="2">
        <v>45160</v>
      </c>
      <c r="K220" s="1" t="s">
        <v>26</v>
      </c>
      <c r="L220" s="1">
        <f>IF(Subscriptions[[#This Row],[churned]]="Yes",1,0)</f>
        <v>0</v>
      </c>
      <c r="M220" s="2"/>
      <c r="N220" s="1" t="s">
        <v>30</v>
      </c>
      <c r="O220">
        <v>6</v>
      </c>
      <c r="P220">
        <v>8</v>
      </c>
      <c r="Q220">
        <v>32</v>
      </c>
      <c r="R220" s="1" t="s">
        <v>26</v>
      </c>
    </row>
    <row r="221" spans="1:18" x14ac:dyDescent="0.35">
      <c r="A221" s="1" t="s">
        <v>277</v>
      </c>
      <c r="B221" s="1" t="s">
        <v>18</v>
      </c>
      <c r="C221" s="1" t="s">
        <v>19</v>
      </c>
      <c r="D221" s="1" t="s">
        <v>65</v>
      </c>
      <c r="E221" s="1" t="s">
        <v>45</v>
      </c>
      <c r="F221">
        <v>1</v>
      </c>
      <c r="G221">
        <v>79</v>
      </c>
      <c r="H221" s="1" t="s">
        <v>101</v>
      </c>
      <c r="I221" s="1" t="s">
        <v>23</v>
      </c>
      <c r="J221" s="2">
        <v>45195</v>
      </c>
      <c r="K221" s="1" t="s">
        <v>24</v>
      </c>
      <c r="L221" s="1">
        <f>IF(Subscriptions[[#This Row],[churned]]="Yes",1,0)</f>
        <v>1</v>
      </c>
      <c r="M221" s="2">
        <v>45788</v>
      </c>
      <c r="N221" s="1" t="s">
        <v>25</v>
      </c>
      <c r="O221">
        <v>9</v>
      </c>
      <c r="P221">
        <v>5</v>
      </c>
      <c r="Q221">
        <v>44</v>
      </c>
      <c r="R221" s="1" t="s">
        <v>26</v>
      </c>
    </row>
    <row r="222" spans="1:18" x14ac:dyDescent="0.35">
      <c r="A222" s="1" t="s">
        <v>278</v>
      </c>
      <c r="B222" s="1" t="s">
        <v>37</v>
      </c>
      <c r="C222" s="1" t="s">
        <v>28</v>
      </c>
      <c r="D222" s="1" t="s">
        <v>38</v>
      </c>
      <c r="E222" s="1" t="s">
        <v>45</v>
      </c>
      <c r="F222">
        <v>3</v>
      </c>
      <c r="G222">
        <v>219.9</v>
      </c>
      <c r="H222" s="1" t="s">
        <v>22</v>
      </c>
      <c r="I222" s="1" t="s">
        <v>23</v>
      </c>
      <c r="J222" s="2">
        <v>45836</v>
      </c>
      <c r="K222" s="1" t="s">
        <v>26</v>
      </c>
      <c r="L222" s="1">
        <f>IF(Subscriptions[[#This Row],[churned]]="Yes",1,0)</f>
        <v>0</v>
      </c>
      <c r="M222" s="2"/>
      <c r="N222" s="1" t="s">
        <v>30</v>
      </c>
      <c r="O222">
        <v>7</v>
      </c>
      <c r="P222">
        <v>8</v>
      </c>
      <c r="Q222">
        <v>43</v>
      </c>
      <c r="R222" s="1" t="s">
        <v>26</v>
      </c>
    </row>
    <row r="223" spans="1:18" x14ac:dyDescent="0.35">
      <c r="A223" s="1" t="s">
        <v>279</v>
      </c>
      <c r="B223" s="1" t="s">
        <v>18</v>
      </c>
      <c r="C223" s="1" t="s">
        <v>19</v>
      </c>
      <c r="D223" s="1" t="s">
        <v>52</v>
      </c>
      <c r="E223" s="1" t="s">
        <v>21</v>
      </c>
      <c r="F223">
        <v>47</v>
      </c>
      <c r="G223">
        <v>624.1</v>
      </c>
      <c r="H223" s="1" t="s">
        <v>46</v>
      </c>
      <c r="I223" s="1" t="s">
        <v>40</v>
      </c>
      <c r="J223" s="2">
        <v>45568</v>
      </c>
      <c r="K223" s="1" t="s">
        <v>26</v>
      </c>
      <c r="L223" s="1">
        <f>IF(Subscriptions[[#This Row],[churned]]="Yes",1,0)</f>
        <v>0</v>
      </c>
      <c r="M223" s="2"/>
      <c r="N223" s="1" t="s">
        <v>30</v>
      </c>
      <c r="O223">
        <v>6</v>
      </c>
      <c r="P223">
        <v>8</v>
      </c>
      <c r="Q223">
        <v>63</v>
      </c>
      <c r="R223" s="1" t="s">
        <v>24</v>
      </c>
    </row>
    <row r="224" spans="1:18" x14ac:dyDescent="0.35">
      <c r="A224" s="1" t="s">
        <v>280</v>
      </c>
      <c r="B224" s="1" t="s">
        <v>32</v>
      </c>
      <c r="C224" s="1" t="s">
        <v>19</v>
      </c>
      <c r="D224" s="1" t="s">
        <v>42</v>
      </c>
      <c r="E224" s="1" t="s">
        <v>48</v>
      </c>
      <c r="F224">
        <v>68</v>
      </c>
      <c r="G224">
        <v>320.45</v>
      </c>
      <c r="H224" s="1" t="s">
        <v>63</v>
      </c>
      <c r="I224" s="1" t="s">
        <v>23</v>
      </c>
      <c r="J224" s="2">
        <v>45748</v>
      </c>
      <c r="K224" s="1" t="s">
        <v>24</v>
      </c>
      <c r="L224" s="1">
        <f>IF(Subscriptions[[#This Row],[churned]]="Yes",1,0)</f>
        <v>1</v>
      </c>
      <c r="M224" s="2">
        <v>45949</v>
      </c>
      <c r="N224" s="1" t="s">
        <v>53</v>
      </c>
      <c r="O224">
        <v>9</v>
      </c>
      <c r="P224">
        <v>4</v>
      </c>
      <c r="Q224">
        <v>42</v>
      </c>
      <c r="R224" s="1" t="s">
        <v>26</v>
      </c>
    </row>
    <row r="225" spans="1:18" x14ac:dyDescent="0.35">
      <c r="A225" s="1" t="s">
        <v>281</v>
      </c>
      <c r="B225" s="1" t="s">
        <v>74</v>
      </c>
      <c r="C225" s="1" t="s">
        <v>28</v>
      </c>
      <c r="D225" s="1" t="s">
        <v>55</v>
      </c>
      <c r="E225" s="1" t="s">
        <v>21</v>
      </c>
      <c r="F225">
        <v>72</v>
      </c>
      <c r="G225">
        <v>4941.3500000000004</v>
      </c>
      <c r="H225" s="1" t="s">
        <v>101</v>
      </c>
      <c r="I225" s="1" t="s">
        <v>72</v>
      </c>
      <c r="J225" s="2">
        <v>45689</v>
      </c>
      <c r="K225" s="1" t="s">
        <v>24</v>
      </c>
      <c r="L225" s="1">
        <f>IF(Subscriptions[[#This Row],[churned]]="Yes",1,0)</f>
        <v>1</v>
      </c>
      <c r="M225" s="2">
        <v>45701</v>
      </c>
      <c r="N225" s="1" t="s">
        <v>85</v>
      </c>
      <c r="O225">
        <v>0</v>
      </c>
      <c r="P225">
        <v>1</v>
      </c>
      <c r="Q225">
        <v>11</v>
      </c>
      <c r="R225" s="1" t="s">
        <v>26</v>
      </c>
    </row>
    <row r="226" spans="1:18" x14ac:dyDescent="0.35">
      <c r="A226" s="1" t="s">
        <v>282</v>
      </c>
      <c r="B226" s="1" t="s">
        <v>18</v>
      </c>
      <c r="C226" s="1" t="s">
        <v>28</v>
      </c>
      <c r="D226" s="1" t="s">
        <v>82</v>
      </c>
      <c r="E226" s="1" t="s">
        <v>39</v>
      </c>
      <c r="F226">
        <v>27</v>
      </c>
      <c r="G226">
        <v>329.03</v>
      </c>
      <c r="H226" s="1" t="s">
        <v>22</v>
      </c>
      <c r="I226" s="1" t="s">
        <v>23</v>
      </c>
      <c r="J226" s="2">
        <v>45978</v>
      </c>
      <c r="K226" s="1" t="s">
        <v>26</v>
      </c>
      <c r="L226" s="1">
        <f>IF(Subscriptions[[#This Row],[churned]]="Yes",1,0)</f>
        <v>0</v>
      </c>
      <c r="M226" s="2"/>
      <c r="N226" s="1" t="s">
        <v>30</v>
      </c>
      <c r="O226">
        <v>7</v>
      </c>
      <c r="P226">
        <v>4</v>
      </c>
      <c r="Q226">
        <v>39</v>
      </c>
      <c r="R226" s="1" t="s">
        <v>26</v>
      </c>
    </row>
    <row r="227" spans="1:18" x14ac:dyDescent="0.35">
      <c r="A227" s="1" t="s">
        <v>283</v>
      </c>
      <c r="B227" s="1" t="s">
        <v>18</v>
      </c>
      <c r="C227" s="1" t="s">
        <v>19</v>
      </c>
      <c r="D227" s="1" t="s">
        <v>20</v>
      </c>
      <c r="E227" s="1" t="s">
        <v>21</v>
      </c>
      <c r="F227">
        <v>64</v>
      </c>
      <c r="G227">
        <v>825.55</v>
      </c>
      <c r="H227" s="1" t="s">
        <v>22</v>
      </c>
      <c r="I227" s="1" t="s">
        <v>40</v>
      </c>
      <c r="J227" s="2">
        <v>45765</v>
      </c>
      <c r="K227" s="1" t="s">
        <v>26</v>
      </c>
      <c r="L227" s="1">
        <f>IF(Subscriptions[[#This Row],[churned]]="Yes",1,0)</f>
        <v>0</v>
      </c>
      <c r="M227" s="2"/>
      <c r="N227" s="1" t="s">
        <v>30</v>
      </c>
      <c r="O227">
        <v>10</v>
      </c>
      <c r="P227">
        <v>4</v>
      </c>
      <c r="Q227">
        <v>87</v>
      </c>
      <c r="R227" s="1" t="s">
        <v>26</v>
      </c>
    </row>
    <row r="228" spans="1:18" x14ac:dyDescent="0.35">
      <c r="A228" s="1" t="s">
        <v>284</v>
      </c>
      <c r="B228" s="1" t="s">
        <v>32</v>
      </c>
      <c r="C228" s="1" t="s">
        <v>19</v>
      </c>
      <c r="D228" s="1" t="s">
        <v>20</v>
      </c>
      <c r="E228" s="1" t="s">
        <v>45</v>
      </c>
      <c r="F228">
        <v>6</v>
      </c>
      <c r="G228">
        <v>50.75</v>
      </c>
      <c r="H228" s="1" t="s">
        <v>46</v>
      </c>
      <c r="I228" s="1" t="s">
        <v>40</v>
      </c>
      <c r="J228" s="2">
        <v>45545</v>
      </c>
      <c r="K228" s="1" t="s">
        <v>24</v>
      </c>
      <c r="L228" s="1">
        <f>IF(Subscriptions[[#This Row],[churned]]="Yes",1,0)</f>
        <v>1</v>
      </c>
      <c r="M228" s="2">
        <v>45592</v>
      </c>
      <c r="N228" s="1" t="s">
        <v>85</v>
      </c>
      <c r="O228">
        <v>5</v>
      </c>
      <c r="P228">
        <v>3</v>
      </c>
      <c r="Q228">
        <v>39</v>
      </c>
      <c r="R228" s="1" t="s">
        <v>26</v>
      </c>
    </row>
    <row r="229" spans="1:18" x14ac:dyDescent="0.35">
      <c r="A229" s="1" t="s">
        <v>285</v>
      </c>
      <c r="B229" s="1" t="s">
        <v>32</v>
      </c>
      <c r="C229" s="1" t="s">
        <v>28</v>
      </c>
      <c r="D229" s="1" t="s">
        <v>82</v>
      </c>
      <c r="E229" s="1" t="s">
        <v>39</v>
      </c>
      <c r="F229">
        <v>10</v>
      </c>
      <c r="G229">
        <v>57.93</v>
      </c>
      <c r="H229" s="1" t="s">
        <v>22</v>
      </c>
      <c r="I229" s="1" t="s">
        <v>40</v>
      </c>
      <c r="J229" s="2">
        <v>45303</v>
      </c>
      <c r="K229" s="1" t="s">
        <v>26</v>
      </c>
      <c r="L229" s="1">
        <f>IF(Subscriptions[[#This Row],[churned]]="Yes",1,0)</f>
        <v>0</v>
      </c>
      <c r="M229" s="2"/>
      <c r="N229" s="1" t="s">
        <v>30</v>
      </c>
      <c r="O229">
        <v>8</v>
      </c>
      <c r="P229">
        <v>6</v>
      </c>
      <c r="Q229">
        <v>46</v>
      </c>
      <c r="R229" s="1" t="s">
        <v>24</v>
      </c>
    </row>
    <row r="230" spans="1:18" x14ac:dyDescent="0.35">
      <c r="A230" s="1" t="s">
        <v>286</v>
      </c>
      <c r="B230" s="1" t="s">
        <v>74</v>
      </c>
      <c r="C230" s="1" t="s">
        <v>19</v>
      </c>
      <c r="D230" s="1" t="s">
        <v>42</v>
      </c>
      <c r="E230" s="1" t="s">
        <v>48</v>
      </c>
      <c r="F230">
        <v>118</v>
      </c>
      <c r="G230">
        <v>9256.4500000000007</v>
      </c>
      <c r="H230" s="1" t="s">
        <v>22</v>
      </c>
      <c r="I230" s="1" t="s">
        <v>40</v>
      </c>
      <c r="J230" s="2">
        <v>45388</v>
      </c>
      <c r="K230" s="1" t="s">
        <v>26</v>
      </c>
      <c r="L230" s="1">
        <f>IF(Subscriptions[[#This Row],[churned]]="Yes",1,0)</f>
        <v>0</v>
      </c>
      <c r="M230" s="2"/>
      <c r="N230" s="1" t="s">
        <v>30</v>
      </c>
      <c r="O230">
        <v>0</v>
      </c>
      <c r="P230">
        <v>10</v>
      </c>
      <c r="Q230">
        <v>85</v>
      </c>
      <c r="R230" s="1" t="s">
        <v>26</v>
      </c>
    </row>
    <row r="231" spans="1:18" x14ac:dyDescent="0.35">
      <c r="A231" s="1" t="s">
        <v>287</v>
      </c>
      <c r="B231" s="1" t="s">
        <v>32</v>
      </c>
      <c r="C231" s="1" t="s">
        <v>19</v>
      </c>
      <c r="D231" s="1" t="s">
        <v>33</v>
      </c>
      <c r="E231" s="1" t="s">
        <v>39</v>
      </c>
      <c r="F231">
        <v>24</v>
      </c>
      <c r="G231">
        <v>129.05000000000001</v>
      </c>
      <c r="H231" s="1" t="s">
        <v>46</v>
      </c>
      <c r="I231" s="1" t="s">
        <v>23</v>
      </c>
      <c r="J231" s="2">
        <v>45087</v>
      </c>
      <c r="K231" s="1" t="s">
        <v>24</v>
      </c>
      <c r="L231" s="1">
        <f>IF(Subscriptions[[#This Row],[churned]]="Yes",1,0)</f>
        <v>1</v>
      </c>
      <c r="M231" s="2">
        <v>45221</v>
      </c>
      <c r="N231" s="1" t="s">
        <v>53</v>
      </c>
      <c r="O231">
        <v>13</v>
      </c>
      <c r="P231">
        <v>1</v>
      </c>
      <c r="Q231">
        <v>31</v>
      </c>
      <c r="R231" s="1" t="s">
        <v>26</v>
      </c>
    </row>
    <row r="232" spans="1:18" x14ac:dyDescent="0.35">
      <c r="A232" s="1" t="s">
        <v>288</v>
      </c>
      <c r="B232" s="1" t="s">
        <v>32</v>
      </c>
      <c r="C232" s="1" t="s">
        <v>19</v>
      </c>
      <c r="D232" s="1" t="s">
        <v>65</v>
      </c>
      <c r="E232" s="1" t="s">
        <v>21</v>
      </c>
      <c r="F232">
        <v>33</v>
      </c>
      <c r="G232">
        <v>168.2</v>
      </c>
      <c r="H232" s="1" t="s">
        <v>29</v>
      </c>
      <c r="I232" s="1" t="s">
        <v>23</v>
      </c>
      <c r="J232" s="2">
        <v>45246</v>
      </c>
      <c r="K232" s="1" t="s">
        <v>26</v>
      </c>
      <c r="L232" s="1">
        <f>IF(Subscriptions[[#This Row],[churned]]="Yes",1,0)</f>
        <v>0</v>
      </c>
      <c r="M232" s="2"/>
      <c r="N232" s="1" t="s">
        <v>30</v>
      </c>
      <c r="O232">
        <v>4</v>
      </c>
      <c r="P232">
        <v>9</v>
      </c>
      <c r="Q232">
        <v>52</v>
      </c>
      <c r="R232" s="1" t="s">
        <v>26</v>
      </c>
    </row>
    <row r="233" spans="1:18" x14ac:dyDescent="0.35">
      <c r="A233" s="1" t="s">
        <v>289</v>
      </c>
      <c r="B233" s="1" t="s">
        <v>18</v>
      </c>
      <c r="C233" s="1" t="s">
        <v>19</v>
      </c>
      <c r="D233" s="1" t="s">
        <v>20</v>
      </c>
      <c r="E233" s="1" t="s">
        <v>21</v>
      </c>
      <c r="F233">
        <v>44</v>
      </c>
      <c r="G233">
        <v>588.54999999999995</v>
      </c>
      <c r="H233" s="1" t="s">
        <v>22</v>
      </c>
      <c r="I233" s="1" t="s">
        <v>40</v>
      </c>
      <c r="J233" s="2">
        <v>45817</v>
      </c>
      <c r="K233" s="1" t="s">
        <v>26</v>
      </c>
      <c r="L233" s="1">
        <f>IF(Subscriptions[[#This Row],[churned]]="Yes",1,0)</f>
        <v>0</v>
      </c>
      <c r="M233" s="2"/>
      <c r="N233" s="1" t="s">
        <v>30</v>
      </c>
      <c r="O233">
        <v>9</v>
      </c>
      <c r="P233">
        <v>5</v>
      </c>
      <c r="Q233">
        <v>71</v>
      </c>
      <c r="R233" s="1" t="s">
        <v>26</v>
      </c>
    </row>
    <row r="234" spans="1:18" x14ac:dyDescent="0.35">
      <c r="A234" s="1" t="s">
        <v>290</v>
      </c>
      <c r="B234" s="1" t="s">
        <v>18</v>
      </c>
      <c r="C234" s="1" t="s">
        <v>19</v>
      </c>
      <c r="D234" s="1" t="s">
        <v>38</v>
      </c>
      <c r="E234" s="1" t="s">
        <v>48</v>
      </c>
      <c r="F234">
        <v>112</v>
      </c>
      <c r="G234">
        <v>1394.35</v>
      </c>
      <c r="H234" s="1" t="s">
        <v>35</v>
      </c>
      <c r="I234" s="1" t="s">
        <v>23</v>
      </c>
      <c r="J234" s="2">
        <v>45695</v>
      </c>
      <c r="K234" s="1" t="s">
        <v>26</v>
      </c>
      <c r="L234" s="1">
        <f>IF(Subscriptions[[#This Row],[churned]]="Yes",1,0)</f>
        <v>0</v>
      </c>
      <c r="M234" s="2"/>
      <c r="N234" s="1" t="s">
        <v>30</v>
      </c>
      <c r="O234">
        <v>0</v>
      </c>
      <c r="P234">
        <v>8</v>
      </c>
      <c r="Q234">
        <v>17</v>
      </c>
      <c r="R234" s="1" t="s">
        <v>26</v>
      </c>
    </row>
    <row r="235" spans="1:18" x14ac:dyDescent="0.35">
      <c r="A235" s="1" t="s">
        <v>291</v>
      </c>
      <c r="B235" s="1" t="s">
        <v>37</v>
      </c>
      <c r="C235" s="1" t="s">
        <v>19</v>
      </c>
      <c r="D235" s="1" t="s">
        <v>82</v>
      </c>
      <c r="E235" s="1" t="s">
        <v>21</v>
      </c>
      <c r="F235">
        <v>55</v>
      </c>
      <c r="G235">
        <v>1810.9</v>
      </c>
      <c r="H235" s="1" t="s">
        <v>63</v>
      </c>
      <c r="I235" s="1" t="s">
        <v>23</v>
      </c>
      <c r="J235" s="2">
        <v>45385</v>
      </c>
      <c r="K235" s="1" t="s">
        <v>24</v>
      </c>
      <c r="L235" s="1">
        <f>IF(Subscriptions[[#This Row],[churned]]="Yes",1,0)</f>
        <v>1</v>
      </c>
      <c r="M235" s="2">
        <v>45630</v>
      </c>
      <c r="N235" s="1" t="s">
        <v>49</v>
      </c>
      <c r="O235">
        <v>2</v>
      </c>
      <c r="P235">
        <v>2</v>
      </c>
      <c r="Q235">
        <v>15</v>
      </c>
      <c r="R235" s="1" t="s">
        <v>26</v>
      </c>
    </row>
    <row r="236" spans="1:18" x14ac:dyDescent="0.35">
      <c r="A236" s="1" t="s">
        <v>292</v>
      </c>
      <c r="B236" s="1" t="s">
        <v>37</v>
      </c>
      <c r="C236" s="1" t="s">
        <v>28</v>
      </c>
      <c r="D236" s="1" t="s">
        <v>82</v>
      </c>
      <c r="E236" s="1" t="s">
        <v>39</v>
      </c>
      <c r="F236">
        <v>15</v>
      </c>
      <c r="G236">
        <v>524.37</v>
      </c>
      <c r="H236" s="1" t="s">
        <v>63</v>
      </c>
      <c r="I236" s="1" t="s">
        <v>23</v>
      </c>
      <c r="J236" s="2">
        <v>45421</v>
      </c>
      <c r="K236" s="1" t="s">
        <v>26</v>
      </c>
      <c r="L236" s="1">
        <f>IF(Subscriptions[[#This Row],[churned]]="Yes",1,0)</f>
        <v>0</v>
      </c>
      <c r="M236" s="2"/>
      <c r="N236" s="1" t="s">
        <v>30</v>
      </c>
      <c r="O236">
        <v>6</v>
      </c>
      <c r="P236">
        <v>9</v>
      </c>
      <c r="Q236">
        <v>23</v>
      </c>
      <c r="R236" s="1" t="s">
        <v>24</v>
      </c>
    </row>
    <row r="237" spans="1:18" x14ac:dyDescent="0.35">
      <c r="A237" s="1" t="s">
        <v>293</v>
      </c>
      <c r="B237" s="1" t="s">
        <v>32</v>
      </c>
      <c r="C237" s="1" t="s">
        <v>19</v>
      </c>
      <c r="D237" s="1" t="s">
        <v>52</v>
      </c>
      <c r="E237" s="1" t="s">
        <v>48</v>
      </c>
      <c r="F237">
        <v>45</v>
      </c>
      <c r="G237">
        <v>220.4</v>
      </c>
      <c r="H237" s="1" t="s">
        <v>63</v>
      </c>
      <c r="I237" s="1" t="s">
        <v>40</v>
      </c>
      <c r="J237" s="2">
        <v>45117</v>
      </c>
      <c r="K237" s="1" t="s">
        <v>24</v>
      </c>
      <c r="L237" s="1">
        <f>IF(Subscriptions[[#This Row],[churned]]="Yes",1,0)</f>
        <v>1</v>
      </c>
      <c r="M237" s="2">
        <v>45119</v>
      </c>
      <c r="N237" s="1" t="s">
        <v>59</v>
      </c>
      <c r="O237">
        <v>7</v>
      </c>
      <c r="P237">
        <v>3</v>
      </c>
      <c r="Q237">
        <v>49</v>
      </c>
      <c r="R237" s="1" t="s">
        <v>26</v>
      </c>
    </row>
    <row r="238" spans="1:18" x14ac:dyDescent="0.35">
      <c r="A238" s="1" t="s">
        <v>294</v>
      </c>
      <c r="B238" s="1" t="s">
        <v>18</v>
      </c>
      <c r="C238" s="1" t="s">
        <v>19</v>
      </c>
      <c r="D238" s="1" t="s">
        <v>82</v>
      </c>
      <c r="E238" s="1" t="s">
        <v>34</v>
      </c>
      <c r="F238">
        <v>109</v>
      </c>
      <c r="G238">
        <v>1358.8</v>
      </c>
      <c r="H238" s="1" t="s">
        <v>29</v>
      </c>
      <c r="I238" s="1" t="s">
        <v>40</v>
      </c>
      <c r="J238" s="2">
        <v>44788</v>
      </c>
      <c r="K238" s="1" t="s">
        <v>26</v>
      </c>
      <c r="L238" s="1">
        <f>IF(Subscriptions[[#This Row],[churned]]="Yes",1,0)</f>
        <v>0</v>
      </c>
      <c r="M238" s="2"/>
      <c r="N238" s="1" t="s">
        <v>30</v>
      </c>
      <c r="O238">
        <v>0</v>
      </c>
      <c r="P238">
        <v>3</v>
      </c>
      <c r="Q238">
        <v>30</v>
      </c>
      <c r="R238" s="1" t="s">
        <v>26</v>
      </c>
    </row>
    <row r="239" spans="1:18" x14ac:dyDescent="0.35">
      <c r="A239" s="1" t="s">
        <v>295</v>
      </c>
      <c r="B239" s="1" t="s">
        <v>37</v>
      </c>
      <c r="C239" s="1" t="s">
        <v>19</v>
      </c>
      <c r="D239" s="1" t="s">
        <v>38</v>
      </c>
      <c r="E239" s="1" t="s">
        <v>21</v>
      </c>
      <c r="F239">
        <v>29</v>
      </c>
      <c r="G239">
        <v>1034.8</v>
      </c>
      <c r="H239" s="1" t="s">
        <v>46</v>
      </c>
      <c r="I239" s="1" t="s">
        <v>23</v>
      </c>
      <c r="J239" s="2">
        <v>45045</v>
      </c>
      <c r="K239" s="1" t="s">
        <v>26</v>
      </c>
      <c r="L239" s="1">
        <f>IF(Subscriptions[[#This Row],[churned]]="Yes",1,0)</f>
        <v>0</v>
      </c>
      <c r="M239" s="2"/>
      <c r="N239" s="1" t="s">
        <v>30</v>
      </c>
      <c r="O239">
        <v>12</v>
      </c>
      <c r="P239">
        <v>1</v>
      </c>
      <c r="Q239">
        <v>86</v>
      </c>
      <c r="R239" s="1" t="s">
        <v>26</v>
      </c>
    </row>
    <row r="240" spans="1:18" x14ac:dyDescent="0.35">
      <c r="A240" s="1" t="s">
        <v>296</v>
      </c>
      <c r="B240" s="1" t="s">
        <v>37</v>
      </c>
      <c r="C240" s="1" t="s">
        <v>19</v>
      </c>
      <c r="D240" s="1" t="s">
        <v>52</v>
      </c>
      <c r="E240" s="1" t="s">
        <v>39</v>
      </c>
      <c r="F240">
        <v>34</v>
      </c>
      <c r="G240">
        <v>1184.05</v>
      </c>
      <c r="H240" s="1" t="s">
        <v>35</v>
      </c>
      <c r="I240" s="1" t="s">
        <v>72</v>
      </c>
      <c r="J240" s="2">
        <v>44667</v>
      </c>
      <c r="K240" s="1" t="s">
        <v>24</v>
      </c>
      <c r="L240" s="1">
        <f>IF(Subscriptions[[#This Row],[churned]]="Yes",1,0)</f>
        <v>1</v>
      </c>
      <c r="M240" s="2">
        <v>45109</v>
      </c>
      <c r="N240" s="1" t="s">
        <v>85</v>
      </c>
      <c r="O240">
        <v>8</v>
      </c>
      <c r="P240">
        <v>3</v>
      </c>
      <c r="Q240">
        <v>24</v>
      </c>
      <c r="R240" s="1" t="s">
        <v>26</v>
      </c>
    </row>
    <row r="241" spans="1:18" x14ac:dyDescent="0.35">
      <c r="A241" s="1" t="s">
        <v>297</v>
      </c>
      <c r="B241" s="1" t="s">
        <v>32</v>
      </c>
      <c r="C241" s="1" t="s">
        <v>28</v>
      </c>
      <c r="D241" s="1" t="s">
        <v>71</v>
      </c>
      <c r="E241" s="1" t="s">
        <v>45</v>
      </c>
      <c r="F241">
        <v>4</v>
      </c>
      <c r="G241">
        <v>35.74</v>
      </c>
      <c r="H241" s="1" t="s">
        <v>101</v>
      </c>
      <c r="I241" s="1" t="s">
        <v>58</v>
      </c>
      <c r="J241" s="2">
        <v>45703</v>
      </c>
      <c r="K241" s="1" t="s">
        <v>26</v>
      </c>
      <c r="L241" s="1">
        <f>IF(Subscriptions[[#This Row],[churned]]="Yes",1,0)</f>
        <v>0</v>
      </c>
      <c r="M241" s="2"/>
      <c r="N241" s="1" t="s">
        <v>30</v>
      </c>
      <c r="O241">
        <v>6</v>
      </c>
      <c r="P241">
        <v>2</v>
      </c>
      <c r="Q241">
        <v>23</v>
      </c>
      <c r="R241" s="1" t="s">
        <v>26</v>
      </c>
    </row>
    <row r="242" spans="1:18" x14ac:dyDescent="0.35">
      <c r="A242" s="1" t="s">
        <v>298</v>
      </c>
      <c r="B242" s="1" t="s">
        <v>32</v>
      </c>
      <c r="C242" s="1" t="s">
        <v>19</v>
      </c>
      <c r="D242" s="1" t="s">
        <v>44</v>
      </c>
      <c r="E242" s="1" t="s">
        <v>21</v>
      </c>
      <c r="F242">
        <v>66</v>
      </c>
      <c r="G242">
        <v>311.75</v>
      </c>
      <c r="H242" s="1" t="s">
        <v>46</v>
      </c>
      <c r="I242" s="1" t="s">
        <v>58</v>
      </c>
      <c r="J242" s="2">
        <v>45178</v>
      </c>
      <c r="K242" s="1" t="s">
        <v>24</v>
      </c>
      <c r="L242" s="1">
        <f>IF(Subscriptions[[#This Row],[churned]]="Yes",1,0)</f>
        <v>1</v>
      </c>
      <c r="M242" s="2">
        <v>45228</v>
      </c>
      <c r="N242" s="1" t="s">
        <v>56</v>
      </c>
      <c r="O242">
        <v>1</v>
      </c>
      <c r="P242">
        <v>4</v>
      </c>
      <c r="Q242">
        <v>15</v>
      </c>
      <c r="R242" s="1" t="s">
        <v>26</v>
      </c>
    </row>
    <row r="243" spans="1:18" x14ac:dyDescent="0.35">
      <c r="A243" s="1" t="s">
        <v>299</v>
      </c>
      <c r="B243" s="1" t="s">
        <v>37</v>
      </c>
      <c r="C243" s="1" t="s">
        <v>28</v>
      </c>
      <c r="D243" s="1" t="s">
        <v>42</v>
      </c>
      <c r="E243" s="1" t="s">
        <v>39</v>
      </c>
      <c r="F243">
        <v>10</v>
      </c>
      <c r="G243">
        <v>397.5</v>
      </c>
      <c r="H243" s="1" t="s">
        <v>63</v>
      </c>
      <c r="I243" s="1" t="s">
        <v>58</v>
      </c>
      <c r="J243" s="2">
        <v>45232</v>
      </c>
      <c r="K243" s="1" t="s">
        <v>26</v>
      </c>
      <c r="L243" s="1">
        <f>IF(Subscriptions[[#This Row],[churned]]="Yes",1,0)</f>
        <v>0</v>
      </c>
      <c r="M243" s="2"/>
      <c r="N243" s="1" t="s">
        <v>30</v>
      </c>
      <c r="O243">
        <v>1</v>
      </c>
      <c r="P243">
        <v>8</v>
      </c>
      <c r="Q243">
        <v>38</v>
      </c>
      <c r="R243" s="1" t="s">
        <v>26</v>
      </c>
    </row>
    <row r="244" spans="1:18" x14ac:dyDescent="0.35">
      <c r="A244" s="1" t="s">
        <v>300</v>
      </c>
      <c r="B244" s="1" t="s">
        <v>74</v>
      </c>
      <c r="C244" s="1" t="s">
        <v>19</v>
      </c>
      <c r="D244" s="1" t="s">
        <v>20</v>
      </c>
      <c r="E244" s="1" t="s">
        <v>48</v>
      </c>
      <c r="F244">
        <v>122</v>
      </c>
      <c r="G244">
        <v>9555.85</v>
      </c>
      <c r="H244" s="1" t="s">
        <v>22</v>
      </c>
      <c r="I244" s="1" t="s">
        <v>23</v>
      </c>
      <c r="J244" s="2">
        <v>45572</v>
      </c>
      <c r="K244" s="1" t="s">
        <v>26</v>
      </c>
      <c r="L244" s="1">
        <f>IF(Subscriptions[[#This Row],[churned]]="Yes",1,0)</f>
        <v>0</v>
      </c>
      <c r="M244" s="2"/>
      <c r="N244" s="1" t="s">
        <v>30</v>
      </c>
      <c r="O244">
        <v>4</v>
      </c>
      <c r="P244">
        <v>7</v>
      </c>
      <c r="Q244">
        <v>94</v>
      </c>
      <c r="R244" s="1" t="s">
        <v>24</v>
      </c>
    </row>
    <row r="245" spans="1:18" x14ac:dyDescent="0.35">
      <c r="A245" s="1" t="s">
        <v>301</v>
      </c>
      <c r="B245" s="1" t="s">
        <v>32</v>
      </c>
      <c r="C245" s="1" t="s">
        <v>19</v>
      </c>
      <c r="D245" s="1" t="s">
        <v>44</v>
      </c>
      <c r="E245" s="1" t="s">
        <v>21</v>
      </c>
      <c r="F245">
        <v>23</v>
      </c>
      <c r="G245">
        <v>124.7</v>
      </c>
      <c r="H245" s="1" t="s">
        <v>63</v>
      </c>
      <c r="I245" s="1" t="s">
        <v>40</v>
      </c>
      <c r="J245" s="2">
        <v>45768</v>
      </c>
      <c r="K245" s="1" t="s">
        <v>24</v>
      </c>
      <c r="L245" s="1">
        <f>IF(Subscriptions[[#This Row],[churned]]="Yes",1,0)</f>
        <v>1</v>
      </c>
      <c r="M245" s="2">
        <v>45784</v>
      </c>
      <c r="N245" s="1" t="s">
        <v>49</v>
      </c>
      <c r="O245">
        <v>7</v>
      </c>
      <c r="P245">
        <v>6</v>
      </c>
      <c r="Q245">
        <v>18</v>
      </c>
      <c r="R245" s="1" t="s">
        <v>26</v>
      </c>
    </row>
    <row r="246" spans="1:18" x14ac:dyDescent="0.35">
      <c r="A246" s="1" t="s">
        <v>302</v>
      </c>
      <c r="B246" s="1" t="s">
        <v>37</v>
      </c>
      <c r="C246" s="1" t="s">
        <v>28</v>
      </c>
      <c r="D246" s="1" t="s">
        <v>42</v>
      </c>
      <c r="E246" s="1" t="s">
        <v>45</v>
      </c>
      <c r="F246">
        <v>1</v>
      </c>
      <c r="G246">
        <v>169.15</v>
      </c>
      <c r="H246" s="1" t="s">
        <v>22</v>
      </c>
      <c r="I246" s="1" t="s">
        <v>23</v>
      </c>
      <c r="J246" s="2">
        <v>45989</v>
      </c>
      <c r="K246" s="1" t="s">
        <v>26</v>
      </c>
      <c r="L246" s="1">
        <f>IF(Subscriptions[[#This Row],[churned]]="Yes",1,0)</f>
        <v>0</v>
      </c>
      <c r="M246" s="2"/>
      <c r="N246" s="1" t="s">
        <v>30</v>
      </c>
      <c r="O246">
        <v>5</v>
      </c>
      <c r="P246">
        <v>3</v>
      </c>
      <c r="Q246">
        <v>39</v>
      </c>
      <c r="R246" s="1" t="s">
        <v>26</v>
      </c>
    </row>
    <row r="247" spans="1:18" x14ac:dyDescent="0.35">
      <c r="A247" s="1" t="s">
        <v>303</v>
      </c>
      <c r="B247" s="1" t="s">
        <v>18</v>
      </c>
      <c r="C247" s="1" t="s">
        <v>19</v>
      </c>
      <c r="D247" s="1" t="s">
        <v>82</v>
      </c>
      <c r="E247" s="1" t="s">
        <v>45</v>
      </c>
      <c r="F247">
        <v>6</v>
      </c>
      <c r="G247">
        <v>138.25</v>
      </c>
      <c r="H247" s="1" t="s">
        <v>46</v>
      </c>
      <c r="I247" s="1" t="s">
        <v>40</v>
      </c>
      <c r="J247" s="2">
        <v>45397</v>
      </c>
      <c r="K247" s="1" t="s">
        <v>24</v>
      </c>
      <c r="L247" s="1">
        <f>IF(Subscriptions[[#This Row],[churned]]="Yes",1,0)</f>
        <v>1</v>
      </c>
      <c r="M247" s="2">
        <v>45466</v>
      </c>
      <c r="N247" s="1" t="s">
        <v>85</v>
      </c>
      <c r="O247">
        <v>5</v>
      </c>
      <c r="P247">
        <v>4</v>
      </c>
      <c r="Q247">
        <v>14</v>
      </c>
      <c r="R247" s="1" t="s">
        <v>26</v>
      </c>
    </row>
    <row r="248" spans="1:18" x14ac:dyDescent="0.35">
      <c r="A248" s="1" t="s">
        <v>304</v>
      </c>
      <c r="B248" s="1" t="s">
        <v>37</v>
      </c>
      <c r="C248" s="1" t="s">
        <v>28</v>
      </c>
      <c r="D248" s="1" t="s">
        <v>52</v>
      </c>
      <c r="E248" s="1" t="s">
        <v>34</v>
      </c>
      <c r="F248">
        <v>251</v>
      </c>
      <c r="G248">
        <v>6512.27</v>
      </c>
      <c r="H248" s="1" t="s">
        <v>101</v>
      </c>
      <c r="I248" s="1" t="s">
        <v>72</v>
      </c>
      <c r="J248" s="2">
        <v>45968</v>
      </c>
      <c r="K248" s="1" t="s">
        <v>26</v>
      </c>
      <c r="L248" s="1">
        <f>IF(Subscriptions[[#This Row],[churned]]="Yes",1,0)</f>
        <v>0</v>
      </c>
      <c r="M248" s="2"/>
      <c r="N248" s="1" t="s">
        <v>30</v>
      </c>
      <c r="O248">
        <v>10</v>
      </c>
      <c r="P248">
        <v>6</v>
      </c>
      <c r="Q248">
        <v>38</v>
      </c>
      <c r="R248" s="1" t="s">
        <v>26</v>
      </c>
    </row>
    <row r="249" spans="1:18" x14ac:dyDescent="0.35">
      <c r="A249" s="1" t="s">
        <v>305</v>
      </c>
      <c r="B249" s="1" t="s">
        <v>32</v>
      </c>
      <c r="C249" s="1" t="s">
        <v>28</v>
      </c>
      <c r="D249" s="1" t="s">
        <v>55</v>
      </c>
      <c r="E249" s="1" t="s">
        <v>48</v>
      </c>
      <c r="F249">
        <v>111</v>
      </c>
      <c r="G249">
        <v>431.37</v>
      </c>
      <c r="H249" s="1" t="s">
        <v>29</v>
      </c>
      <c r="I249" s="1" t="s">
        <v>40</v>
      </c>
      <c r="J249" s="2">
        <v>45373</v>
      </c>
      <c r="K249" s="1" t="s">
        <v>24</v>
      </c>
      <c r="L249" s="1">
        <f>IF(Subscriptions[[#This Row],[churned]]="Yes",1,0)</f>
        <v>1</v>
      </c>
      <c r="M249" s="2">
        <v>45614</v>
      </c>
      <c r="N249" s="1" t="s">
        <v>59</v>
      </c>
      <c r="O249">
        <v>5</v>
      </c>
      <c r="P249">
        <v>1</v>
      </c>
      <c r="Q249">
        <v>36</v>
      </c>
      <c r="R249" s="1" t="s">
        <v>26</v>
      </c>
    </row>
    <row r="250" spans="1:18" x14ac:dyDescent="0.35">
      <c r="A250" s="1" t="s">
        <v>306</v>
      </c>
      <c r="B250" s="1" t="s">
        <v>18</v>
      </c>
      <c r="C250" s="1" t="s">
        <v>19</v>
      </c>
      <c r="D250" s="1" t="s">
        <v>33</v>
      </c>
      <c r="E250" s="1" t="s">
        <v>45</v>
      </c>
      <c r="F250">
        <v>6</v>
      </c>
      <c r="G250">
        <v>138.25</v>
      </c>
      <c r="H250" s="1" t="s">
        <v>29</v>
      </c>
      <c r="I250" s="1" t="s">
        <v>23</v>
      </c>
      <c r="J250" s="2">
        <v>45765</v>
      </c>
      <c r="K250" s="1" t="s">
        <v>24</v>
      </c>
      <c r="L250" s="1">
        <f>IF(Subscriptions[[#This Row],[churned]]="Yes",1,0)</f>
        <v>1</v>
      </c>
      <c r="M250" s="2">
        <v>45945</v>
      </c>
      <c r="N250" s="1" t="s">
        <v>49</v>
      </c>
      <c r="O250">
        <v>5</v>
      </c>
      <c r="P250">
        <v>3</v>
      </c>
      <c r="Q250">
        <v>36</v>
      </c>
      <c r="R250" s="1" t="s">
        <v>26</v>
      </c>
    </row>
    <row r="251" spans="1:18" x14ac:dyDescent="0.35">
      <c r="A251" s="1" t="s">
        <v>307</v>
      </c>
      <c r="B251" s="1" t="s">
        <v>37</v>
      </c>
      <c r="C251" s="1" t="s">
        <v>19</v>
      </c>
      <c r="D251" s="1" t="s">
        <v>65</v>
      </c>
      <c r="E251" s="1" t="s">
        <v>45</v>
      </c>
      <c r="F251">
        <v>1</v>
      </c>
      <c r="G251">
        <v>199</v>
      </c>
      <c r="H251" s="1" t="s">
        <v>46</v>
      </c>
      <c r="I251" s="1" t="s">
        <v>23</v>
      </c>
      <c r="J251" s="2">
        <v>45944</v>
      </c>
      <c r="K251" s="1" t="s">
        <v>26</v>
      </c>
      <c r="L251" s="1">
        <f>IF(Subscriptions[[#This Row],[churned]]="Yes",1,0)</f>
        <v>0</v>
      </c>
      <c r="M251" s="2"/>
      <c r="N251" s="1" t="s">
        <v>30</v>
      </c>
      <c r="O251">
        <v>1</v>
      </c>
      <c r="P251">
        <v>10</v>
      </c>
      <c r="Q251">
        <v>69</v>
      </c>
      <c r="R251" s="1" t="s">
        <v>26</v>
      </c>
    </row>
    <row r="252" spans="1:18" x14ac:dyDescent="0.35">
      <c r="A252" s="1" t="s">
        <v>308</v>
      </c>
      <c r="B252" s="1" t="s">
        <v>32</v>
      </c>
      <c r="C252" s="1" t="s">
        <v>28</v>
      </c>
      <c r="D252" s="1" t="s">
        <v>71</v>
      </c>
      <c r="E252" s="1" t="s">
        <v>39</v>
      </c>
      <c r="F252">
        <v>31</v>
      </c>
      <c r="G252">
        <v>135.57</v>
      </c>
      <c r="H252" s="1" t="s">
        <v>35</v>
      </c>
      <c r="I252" s="1" t="s">
        <v>40</v>
      </c>
      <c r="J252" s="2">
        <v>44832</v>
      </c>
      <c r="K252" s="1" t="s">
        <v>24</v>
      </c>
      <c r="L252" s="1">
        <f>IF(Subscriptions[[#This Row],[churned]]="Yes",1,0)</f>
        <v>1</v>
      </c>
      <c r="M252" s="2">
        <v>45669</v>
      </c>
      <c r="N252" s="1" t="s">
        <v>25</v>
      </c>
      <c r="O252">
        <v>0</v>
      </c>
      <c r="P252">
        <v>6</v>
      </c>
      <c r="Q252">
        <v>40</v>
      </c>
      <c r="R252" s="1" t="s">
        <v>26</v>
      </c>
    </row>
    <row r="253" spans="1:18" x14ac:dyDescent="0.35">
      <c r="A253" s="1" t="s">
        <v>309</v>
      </c>
      <c r="B253" s="1" t="s">
        <v>37</v>
      </c>
      <c r="C253" s="1" t="s">
        <v>28</v>
      </c>
      <c r="D253" s="1" t="s">
        <v>71</v>
      </c>
      <c r="E253" s="1" t="s">
        <v>39</v>
      </c>
      <c r="F253">
        <v>19</v>
      </c>
      <c r="G253">
        <v>625.86</v>
      </c>
      <c r="H253" s="1" t="s">
        <v>101</v>
      </c>
      <c r="I253" s="1" t="s">
        <v>23</v>
      </c>
      <c r="J253" s="2">
        <v>45424</v>
      </c>
      <c r="K253" s="1" t="s">
        <v>24</v>
      </c>
      <c r="L253" s="1">
        <f>IF(Subscriptions[[#This Row],[churned]]="Yes",1,0)</f>
        <v>1</v>
      </c>
      <c r="M253" s="2">
        <v>45949</v>
      </c>
      <c r="N253" s="1" t="s">
        <v>49</v>
      </c>
      <c r="O253">
        <v>15</v>
      </c>
      <c r="P253">
        <v>2</v>
      </c>
      <c r="Q253">
        <v>47</v>
      </c>
      <c r="R253" s="1" t="s">
        <v>26</v>
      </c>
    </row>
    <row r="254" spans="1:18" x14ac:dyDescent="0.35">
      <c r="A254" s="1" t="s">
        <v>310</v>
      </c>
      <c r="B254" s="1" t="s">
        <v>18</v>
      </c>
      <c r="C254" s="1" t="s">
        <v>19</v>
      </c>
      <c r="D254" s="1" t="s">
        <v>71</v>
      </c>
      <c r="E254" s="1" t="s">
        <v>39</v>
      </c>
      <c r="F254">
        <v>32</v>
      </c>
      <c r="G254">
        <v>446.35</v>
      </c>
      <c r="H254" s="1" t="s">
        <v>22</v>
      </c>
      <c r="I254" s="1" t="s">
        <v>23</v>
      </c>
      <c r="J254" s="2">
        <v>44894</v>
      </c>
      <c r="K254" s="1" t="s">
        <v>24</v>
      </c>
      <c r="L254" s="1">
        <f>IF(Subscriptions[[#This Row],[churned]]="Yes",1,0)</f>
        <v>1</v>
      </c>
      <c r="M254" s="2">
        <v>45304</v>
      </c>
      <c r="N254" s="1" t="s">
        <v>59</v>
      </c>
      <c r="O254">
        <v>7</v>
      </c>
      <c r="P254">
        <v>1</v>
      </c>
      <c r="Q254">
        <v>20</v>
      </c>
      <c r="R254" s="1" t="s">
        <v>26</v>
      </c>
    </row>
    <row r="255" spans="1:18" x14ac:dyDescent="0.35">
      <c r="A255" s="1" t="s">
        <v>311</v>
      </c>
      <c r="B255" s="1" t="s">
        <v>32</v>
      </c>
      <c r="C255" s="1" t="s">
        <v>28</v>
      </c>
      <c r="D255" s="1" t="s">
        <v>52</v>
      </c>
      <c r="E255" s="1" t="s">
        <v>39</v>
      </c>
      <c r="F255">
        <v>12</v>
      </c>
      <c r="G255">
        <v>65.319999999999993</v>
      </c>
      <c r="H255" s="1" t="s">
        <v>22</v>
      </c>
      <c r="I255" s="1" t="s">
        <v>40</v>
      </c>
      <c r="J255" s="2">
        <v>45795</v>
      </c>
      <c r="K255" s="1" t="s">
        <v>26</v>
      </c>
      <c r="L255" s="1">
        <f>IF(Subscriptions[[#This Row],[churned]]="Yes",1,0)</f>
        <v>0</v>
      </c>
      <c r="M255" s="2"/>
      <c r="N255" s="1" t="s">
        <v>30</v>
      </c>
      <c r="O255">
        <v>0</v>
      </c>
      <c r="P255">
        <v>9</v>
      </c>
      <c r="Q255">
        <v>50</v>
      </c>
      <c r="R255" s="1" t="s">
        <v>24</v>
      </c>
    </row>
    <row r="256" spans="1:18" x14ac:dyDescent="0.35">
      <c r="A256" s="1" t="s">
        <v>312</v>
      </c>
      <c r="B256" s="1" t="s">
        <v>37</v>
      </c>
      <c r="C256" s="1" t="s">
        <v>19</v>
      </c>
      <c r="D256" s="1" t="s">
        <v>38</v>
      </c>
      <c r="E256" s="1" t="s">
        <v>45</v>
      </c>
      <c r="F256">
        <v>1</v>
      </c>
      <c r="G256">
        <v>199</v>
      </c>
      <c r="H256" s="1" t="s">
        <v>22</v>
      </c>
      <c r="I256" s="1" t="s">
        <v>40</v>
      </c>
      <c r="J256" s="2">
        <v>44645</v>
      </c>
      <c r="K256" s="1" t="s">
        <v>24</v>
      </c>
      <c r="L256" s="1">
        <f>IF(Subscriptions[[#This Row],[churned]]="Yes",1,0)</f>
        <v>1</v>
      </c>
      <c r="M256" s="2">
        <v>44671</v>
      </c>
      <c r="N256" s="1" t="s">
        <v>56</v>
      </c>
      <c r="O256">
        <v>14</v>
      </c>
      <c r="P256">
        <v>5</v>
      </c>
      <c r="Q256">
        <v>28</v>
      </c>
      <c r="R256" s="1" t="s">
        <v>26</v>
      </c>
    </row>
    <row r="257" spans="1:18" x14ac:dyDescent="0.35">
      <c r="A257" s="1" t="s">
        <v>313</v>
      </c>
      <c r="B257" s="1" t="s">
        <v>37</v>
      </c>
      <c r="C257" s="1" t="s">
        <v>19</v>
      </c>
      <c r="D257" s="1" t="s">
        <v>65</v>
      </c>
      <c r="E257" s="1" t="s">
        <v>39</v>
      </c>
      <c r="F257">
        <v>7</v>
      </c>
      <c r="G257">
        <v>378.1</v>
      </c>
      <c r="H257" s="1" t="s">
        <v>22</v>
      </c>
      <c r="I257" s="1" t="s">
        <v>23</v>
      </c>
      <c r="J257" s="2">
        <v>44992</v>
      </c>
      <c r="K257" s="1" t="s">
        <v>26</v>
      </c>
      <c r="L257" s="1">
        <f>IF(Subscriptions[[#This Row],[churned]]="Yes",1,0)</f>
        <v>0</v>
      </c>
      <c r="M257" s="2"/>
      <c r="N257" s="1" t="s">
        <v>30</v>
      </c>
      <c r="O257">
        <v>10</v>
      </c>
      <c r="P257">
        <v>10</v>
      </c>
      <c r="Q257">
        <v>58</v>
      </c>
      <c r="R257" s="1" t="s">
        <v>24</v>
      </c>
    </row>
    <row r="258" spans="1:18" x14ac:dyDescent="0.35">
      <c r="A258" s="1" t="s">
        <v>314</v>
      </c>
      <c r="B258" s="1" t="s">
        <v>32</v>
      </c>
      <c r="C258" s="1" t="s">
        <v>28</v>
      </c>
      <c r="D258" s="1" t="s">
        <v>20</v>
      </c>
      <c r="E258" s="1" t="s">
        <v>34</v>
      </c>
      <c r="F258">
        <v>285</v>
      </c>
      <c r="G258">
        <v>1074.74</v>
      </c>
      <c r="H258" s="1" t="s">
        <v>101</v>
      </c>
      <c r="I258" s="1" t="s">
        <v>23</v>
      </c>
      <c r="J258" s="2">
        <v>45562</v>
      </c>
      <c r="K258" s="1" t="s">
        <v>26</v>
      </c>
      <c r="L258" s="1">
        <f>IF(Subscriptions[[#This Row],[churned]]="Yes",1,0)</f>
        <v>0</v>
      </c>
      <c r="M258" s="2"/>
      <c r="N258" s="1" t="s">
        <v>30</v>
      </c>
      <c r="O258">
        <v>2</v>
      </c>
      <c r="P258">
        <v>9</v>
      </c>
      <c r="Q258">
        <v>91</v>
      </c>
      <c r="R258" s="1" t="s">
        <v>24</v>
      </c>
    </row>
    <row r="259" spans="1:18" x14ac:dyDescent="0.35">
      <c r="A259" s="1" t="s">
        <v>315</v>
      </c>
      <c r="B259" s="1" t="s">
        <v>32</v>
      </c>
      <c r="C259" s="1" t="s">
        <v>28</v>
      </c>
      <c r="D259" s="1" t="s">
        <v>38</v>
      </c>
      <c r="E259" s="1" t="s">
        <v>21</v>
      </c>
      <c r="F259">
        <v>31</v>
      </c>
      <c r="G259">
        <v>135.57</v>
      </c>
      <c r="H259" s="1" t="s">
        <v>46</v>
      </c>
      <c r="I259" s="1" t="s">
        <v>40</v>
      </c>
      <c r="J259" s="2">
        <v>44670</v>
      </c>
      <c r="K259" s="1" t="s">
        <v>24</v>
      </c>
      <c r="L259" s="1">
        <f>IF(Subscriptions[[#This Row],[churned]]="Yes",1,0)</f>
        <v>1</v>
      </c>
      <c r="M259" s="2">
        <v>45400</v>
      </c>
      <c r="N259" s="1" t="s">
        <v>66</v>
      </c>
      <c r="O259">
        <v>4</v>
      </c>
      <c r="P259">
        <v>5</v>
      </c>
      <c r="Q259">
        <v>36</v>
      </c>
      <c r="R259" s="1" t="s">
        <v>26</v>
      </c>
    </row>
    <row r="260" spans="1:18" x14ac:dyDescent="0.35">
      <c r="A260" s="1" t="s">
        <v>316</v>
      </c>
      <c r="B260" s="1" t="s">
        <v>18</v>
      </c>
      <c r="C260" s="1" t="s">
        <v>28</v>
      </c>
      <c r="D260" s="1" t="s">
        <v>52</v>
      </c>
      <c r="E260" s="1" t="s">
        <v>48</v>
      </c>
      <c r="F260">
        <v>143</v>
      </c>
      <c r="G260">
        <v>1497.45</v>
      </c>
      <c r="H260" s="1" t="s">
        <v>35</v>
      </c>
      <c r="I260" s="1" t="s">
        <v>58</v>
      </c>
      <c r="J260" s="2">
        <v>45840</v>
      </c>
      <c r="K260" s="1" t="s">
        <v>26</v>
      </c>
      <c r="L260" s="1">
        <f>IF(Subscriptions[[#This Row],[churned]]="Yes",1,0)</f>
        <v>0</v>
      </c>
      <c r="M260" s="2"/>
      <c r="N260" s="1" t="s">
        <v>30</v>
      </c>
      <c r="O260">
        <v>3</v>
      </c>
      <c r="P260">
        <v>1</v>
      </c>
      <c r="Q260">
        <v>84</v>
      </c>
      <c r="R260" s="1" t="s">
        <v>26</v>
      </c>
    </row>
    <row r="261" spans="1:18" x14ac:dyDescent="0.35">
      <c r="A261" s="1" t="s">
        <v>317</v>
      </c>
      <c r="B261" s="1" t="s">
        <v>18</v>
      </c>
      <c r="C261" s="1" t="s">
        <v>19</v>
      </c>
      <c r="D261" s="1" t="s">
        <v>38</v>
      </c>
      <c r="E261" s="1" t="s">
        <v>34</v>
      </c>
      <c r="F261">
        <v>193</v>
      </c>
      <c r="G261">
        <v>2354.1999999999998</v>
      </c>
      <c r="H261" s="1" t="s">
        <v>22</v>
      </c>
      <c r="I261" s="1" t="s">
        <v>23</v>
      </c>
      <c r="J261" s="2">
        <v>45137</v>
      </c>
      <c r="K261" s="1" t="s">
        <v>24</v>
      </c>
      <c r="L261" s="1">
        <f>IF(Subscriptions[[#This Row],[churned]]="Yes",1,0)</f>
        <v>1</v>
      </c>
      <c r="M261" s="2">
        <v>45693</v>
      </c>
      <c r="N261" s="1" t="s">
        <v>53</v>
      </c>
      <c r="O261">
        <v>3</v>
      </c>
      <c r="P261">
        <v>3</v>
      </c>
      <c r="Q261">
        <v>39</v>
      </c>
      <c r="R261" s="1" t="s">
        <v>26</v>
      </c>
    </row>
    <row r="262" spans="1:18" x14ac:dyDescent="0.35">
      <c r="A262" s="1" t="s">
        <v>318</v>
      </c>
      <c r="B262" s="1" t="s">
        <v>18</v>
      </c>
      <c r="C262" s="1" t="s">
        <v>28</v>
      </c>
      <c r="D262" s="1" t="s">
        <v>71</v>
      </c>
      <c r="E262" s="1" t="s">
        <v>45</v>
      </c>
      <c r="F262">
        <v>5</v>
      </c>
      <c r="G262">
        <v>107.44</v>
      </c>
      <c r="H262" s="1" t="s">
        <v>22</v>
      </c>
      <c r="I262" s="1" t="s">
        <v>23</v>
      </c>
      <c r="J262" s="2">
        <v>45543</v>
      </c>
      <c r="K262" s="1" t="s">
        <v>26</v>
      </c>
      <c r="L262" s="1">
        <f>IF(Subscriptions[[#This Row],[churned]]="Yes",1,0)</f>
        <v>0</v>
      </c>
      <c r="M262" s="2"/>
      <c r="N262" s="1" t="s">
        <v>30</v>
      </c>
      <c r="O262">
        <v>1</v>
      </c>
      <c r="P262">
        <v>9</v>
      </c>
      <c r="Q262">
        <v>95</v>
      </c>
      <c r="R262" s="1" t="s">
        <v>26</v>
      </c>
    </row>
    <row r="263" spans="1:18" x14ac:dyDescent="0.35">
      <c r="A263" s="1" t="s">
        <v>319</v>
      </c>
      <c r="B263" s="1" t="s">
        <v>37</v>
      </c>
      <c r="C263" s="1" t="s">
        <v>19</v>
      </c>
      <c r="D263" s="1" t="s">
        <v>42</v>
      </c>
      <c r="E263" s="1" t="s">
        <v>45</v>
      </c>
      <c r="F263">
        <v>8</v>
      </c>
      <c r="G263">
        <v>407.95</v>
      </c>
      <c r="H263" s="1" t="s">
        <v>35</v>
      </c>
      <c r="I263" s="1" t="s">
        <v>23</v>
      </c>
      <c r="J263" s="2">
        <v>45327</v>
      </c>
      <c r="K263" s="1" t="s">
        <v>24</v>
      </c>
      <c r="L263" s="1">
        <f>IF(Subscriptions[[#This Row],[churned]]="Yes",1,0)</f>
        <v>1</v>
      </c>
      <c r="M263" s="2">
        <v>45791</v>
      </c>
      <c r="N263" s="1" t="s">
        <v>56</v>
      </c>
      <c r="O263">
        <v>14</v>
      </c>
      <c r="P263">
        <v>6</v>
      </c>
      <c r="Q263">
        <v>19</v>
      </c>
      <c r="R263" s="1" t="s">
        <v>26</v>
      </c>
    </row>
    <row r="264" spans="1:18" x14ac:dyDescent="0.35">
      <c r="A264" s="1" t="s">
        <v>320</v>
      </c>
      <c r="B264" s="1" t="s">
        <v>37</v>
      </c>
      <c r="C264" s="1" t="s">
        <v>28</v>
      </c>
      <c r="D264" s="1" t="s">
        <v>55</v>
      </c>
      <c r="E264" s="1" t="s">
        <v>39</v>
      </c>
      <c r="F264">
        <v>8</v>
      </c>
      <c r="G264">
        <v>346.76</v>
      </c>
      <c r="H264" s="1" t="s">
        <v>35</v>
      </c>
      <c r="I264" s="1" t="s">
        <v>40</v>
      </c>
      <c r="J264" s="2">
        <v>45877</v>
      </c>
      <c r="K264" s="1" t="s">
        <v>26</v>
      </c>
      <c r="L264" s="1">
        <f>IF(Subscriptions[[#This Row],[churned]]="Yes",1,0)</f>
        <v>0</v>
      </c>
      <c r="M264" s="2"/>
      <c r="N264" s="1" t="s">
        <v>30</v>
      </c>
      <c r="O264">
        <v>3</v>
      </c>
      <c r="P264">
        <v>6</v>
      </c>
      <c r="Q264">
        <v>43</v>
      </c>
      <c r="R264" s="1" t="s">
        <v>26</v>
      </c>
    </row>
    <row r="265" spans="1:18" x14ac:dyDescent="0.35">
      <c r="A265" s="1" t="s">
        <v>321</v>
      </c>
      <c r="B265" s="1" t="s">
        <v>32</v>
      </c>
      <c r="C265" s="1" t="s">
        <v>19</v>
      </c>
      <c r="D265" s="1" t="s">
        <v>52</v>
      </c>
      <c r="E265" s="1" t="s">
        <v>21</v>
      </c>
      <c r="F265">
        <v>52</v>
      </c>
      <c r="G265">
        <v>250.85</v>
      </c>
      <c r="H265" s="1" t="s">
        <v>22</v>
      </c>
      <c r="I265" s="1" t="s">
        <v>23</v>
      </c>
      <c r="J265" s="2">
        <v>45702</v>
      </c>
      <c r="K265" s="1" t="s">
        <v>26</v>
      </c>
      <c r="L265" s="1">
        <f>IF(Subscriptions[[#This Row],[churned]]="Yes",1,0)</f>
        <v>0</v>
      </c>
      <c r="M265" s="2"/>
      <c r="N265" s="1" t="s">
        <v>30</v>
      </c>
      <c r="O265">
        <v>2</v>
      </c>
      <c r="P265">
        <v>7</v>
      </c>
      <c r="Q265">
        <v>42</v>
      </c>
      <c r="R265" s="1" t="s">
        <v>26</v>
      </c>
    </row>
    <row r="266" spans="1:18" x14ac:dyDescent="0.35">
      <c r="A266" s="1" t="s">
        <v>322</v>
      </c>
      <c r="B266" s="1" t="s">
        <v>18</v>
      </c>
      <c r="C266" s="1" t="s">
        <v>19</v>
      </c>
      <c r="D266" s="1" t="s">
        <v>42</v>
      </c>
      <c r="E266" s="1" t="s">
        <v>21</v>
      </c>
      <c r="F266">
        <v>45</v>
      </c>
      <c r="G266">
        <v>600.4</v>
      </c>
      <c r="H266" s="1" t="s">
        <v>63</v>
      </c>
      <c r="I266" s="1" t="s">
        <v>23</v>
      </c>
      <c r="J266" s="2">
        <v>45738</v>
      </c>
      <c r="K266" s="1" t="s">
        <v>26</v>
      </c>
      <c r="L266" s="1">
        <f>IF(Subscriptions[[#This Row],[churned]]="Yes",1,0)</f>
        <v>0</v>
      </c>
      <c r="M266" s="2"/>
      <c r="N266" s="1" t="s">
        <v>30</v>
      </c>
      <c r="O266">
        <v>11</v>
      </c>
      <c r="P266">
        <v>1</v>
      </c>
      <c r="Q266">
        <v>56</v>
      </c>
      <c r="R266" s="1" t="s">
        <v>26</v>
      </c>
    </row>
    <row r="267" spans="1:18" x14ac:dyDescent="0.35">
      <c r="A267" s="1" t="s">
        <v>323</v>
      </c>
      <c r="B267" s="1" t="s">
        <v>32</v>
      </c>
      <c r="C267" s="1" t="s">
        <v>28</v>
      </c>
      <c r="D267" s="1" t="s">
        <v>20</v>
      </c>
      <c r="E267" s="1" t="s">
        <v>39</v>
      </c>
      <c r="F267">
        <v>22</v>
      </c>
      <c r="G267">
        <v>102.3</v>
      </c>
      <c r="H267" s="1" t="s">
        <v>46</v>
      </c>
      <c r="I267" s="1" t="s">
        <v>23</v>
      </c>
      <c r="J267" s="2">
        <v>44665</v>
      </c>
      <c r="K267" s="1" t="s">
        <v>24</v>
      </c>
      <c r="L267" s="1">
        <f>IF(Subscriptions[[#This Row],[churned]]="Yes",1,0)</f>
        <v>1</v>
      </c>
      <c r="M267" s="2">
        <v>44750</v>
      </c>
      <c r="N267" s="1" t="s">
        <v>56</v>
      </c>
      <c r="O267">
        <v>5</v>
      </c>
      <c r="P267">
        <v>4</v>
      </c>
      <c r="Q267">
        <v>20</v>
      </c>
      <c r="R267" s="1" t="s">
        <v>26</v>
      </c>
    </row>
    <row r="268" spans="1:18" x14ac:dyDescent="0.35">
      <c r="A268" s="1" t="s">
        <v>324</v>
      </c>
      <c r="B268" s="1" t="s">
        <v>74</v>
      </c>
      <c r="C268" s="1" t="s">
        <v>19</v>
      </c>
      <c r="D268" s="1" t="s">
        <v>82</v>
      </c>
      <c r="E268" s="1" t="s">
        <v>45</v>
      </c>
      <c r="F268">
        <v>3</v>
      </c>
      <c r="G268">
        <v>648.70000000000005</v>
      </c>
      <c r="H268" s="1" t="s">
        <v>63</v>
      </c>
      <c r="I268" s="1" t="s">
        <v>58</v>
      </c>
      <c r="J268" s="2">
        <v>45053</v>
      </c>
      <c r="K268" s="1" t="s">
        <v>26</v>
      </c>
      <c r="L268" s="1">
        <f>IF(Subscriptions[[#This Row],[churned]]="Yes",1,0)</f>
        <v>0</v>
      </c>
      <c r="M268" s="2"/>
      <c r="N268" s="1" t="s">
        <v>30</v>
      </c>
      <c r="O268">
        <v>3</v>
      </c>
      <c r="P268">
        <v>1</v>
      </c>
      <c r="Q268">
        <v>41</v>
      </c>
      <c r="R268" s="1" t="s">
        <v>26</v>
      </c>
    </row>
    <row r="269" spans="1:18" x14ac:dyDescent="0.35">
      <c r="A269" s="1" t="s">
        <v>325</v>
      </c>
      <c r="B269" s="1" t="s">
        <v>18</v>
      </c>
      <c r="C269" s="1" t="s">
        <v>28</v>
      </c>
      <c r="D269" s="1" t="s">
        <v>20</v>
      </c>
      <c r="E269" s="1" t="s">
        <v>48</v>
      </c>
      <c r="F269">
        <v>49</v>
      </c>
      <c r="G269">
        <v>550.63</v>
      </c>
      <c r="H269" s="1" t="s">
        <v>22</v>
      </c>
      <c r="I269" s="1" t="s">
        <v>23</v>
      </c>
      <c r="J269" s="2">
        <v>44830</v>
      </c>
      <c r="K269" s="1" t="s">
        <v>26</v>
      </c>
      <c r="L269" s="1">
        <f>IF(Subscriptions[[#This Row],[churned]]="Yes",1,0)</f>
        <v>0</v>
      </c>
      <c r="M269" s="2"/>
      <c r="N269" s="1" t="s">
        <v>30</v>
      </c>
      <c r="O269">
        <v>12</v>
      </c>
      <c r="P269">
        <v>7</v>
      </c>
      <c r="Q269">
        <v>46</v>
      </c>
      <c r="R269" s="1" t="s">
        <v>26</v>
      </c>
    </row>
    <row r="270" spans="1:18" x14ac:dyDescent="0.35">
      <c r="A270" s="1" t="s">
        <v>326</v>
      </c>
      <c r="B270" s="1" t="s">
        <v>18</v>
      </c>
      <c r="C270" s="1" t="s">
        <v>19</v>
      </c>
      <c r="D270" s="1" t="s">
        <v>82</v>
      </c>
      <c r="E270" s="1" t="s">
        <v>45</v>
      </c>
      <c r="F270">
        <v>3</v>
      </c>
      <c r="G270">
        <v>102.7</v>
      </c>
      <c r="H270" s="1" t="s">
        <v>101</v>
      </c>
      <c r="I270" s="1" t="s">
        <v>58</v>
      </c>
      <c r="J270" s="2">
        <v>45750</v>
      </c>
      <c r="K270" s="1" t="s">
        <v>24</v>
      </c>
      <c r="L270" s="1">
        <f>IF(Subscriptions[[#This Row],[churned]]="Yes",1,0)</f>
        <v>1</v>
      </c>
      <c r="M270" s="2">
        <v>46002</v>
      </c>
      <c r="N270" s="1" t="s">
        <v>66</v>
      </c>
      <c r="O270">
        <v>3</v>
      </c>
      <c r="P270">
        <v>2</v>
      </c>
      <c r="Q270">
        <v>20</v>
      </c>
      <c r="R270" s="1" t="s">
        <v>26</v>
      </c>
    </row>
    <row r="271" spans="1:18" x14ac:dyDescent="0.35">
      <c r="A271" s="1" t="s">
        <v>327</v>
      </c>
      <c r="B271" s="1" t="s">
        <v>18</v>
      </c>
      <c r="C271" s="1" t="s">
        <v>19</v>
      </c>
      <c r="D271" s="1" t="s">
        <v>52</v>
      </c>
      <c r="E271" s="1" t="s">
        <v>21</v>
      </c>
      <c r="F271">
        <v>66</v>
      </c>
      <c r="G271">
        <v>849.25</v>
      </c>
      <c r="H271" s="1" t="s">
        <v>46</v>
      </c>
      <c r="I271" s="1" t="s">
        <v>23</v>
      </c>
      <c r="J271" s="2">
        <v>44982</v>
      </c>
      <c r="K271" s="1" t="s">
        <v>24</v>
      </c>
      <c r="L271" s="1">
        <f>IF(Subscriptions[[#This Row],[churned]]="Yes",1,0)</f>
        <v>1</v>
      </c>
      <c r="M271" s="2">
        <v>45872</v>
      </c>
      <c r="N271" s="1" t="s">
        <v>25</v>
      </c>
      <c r="O271">
        <v>6</v>
      </c>
      <c r="P271">
        <v>2</v>
      </c>
      <c r="Q271">
        <v>37</v>
      </c>
      <c r="R271" s="1" t="s">
        <v>26</v>
      </c>
    </row>
    <row r="272" spans="1:18" x14ac:dyDescent="0.35">
      <c r="A272" s="1" t="s">
        <v>328</v>
      </c>
      <c r="B272" s="1" t="s">
        <v>18</v>
      </c>
      <c r="C272" s="1" t="s">
        <v>19</v>
      </c>
      <c r="D272" s="1" t="s">
        <v>44</v>
      </c>
      <c r="E272" s="1" t="s">
        <v>39</v>
      </c>
      <c r="F272">
        <v>13</v>
      </c>
      <c r="G272">
        <v>221.2</v>
      </c>
      <c r="H272" s="1" t="s">
        <v>22</v>
      </c>
      <c r="I272" s="1" t="s">
        <v>23</v>
      </c>
      <c r="J272" s="2">
        <v>45712</v>
      </c>
      <c r="K272" s="1" t="s">
        <v>24</v>
      </c>
      <c r="L272" s="1">
        <f>IF(Subscriptions[[#This Row],[churned]]="Yes",1,0)</f>
        <v>1</v>
      </c>
      <c r="M272" s="2">
        <v>45721</v>
      </c>
      <c r="N272" s="1" t="s">
        <v>59</v>
      </c>
      <c r="O272">
        <v>6</v>
      </c>
      <c r="P272">
        <v>4</v>
      </c>
      <c r="Q272">
        <v>19</v>
      </c>
      <c r="R272" s="1" t="s">
        <v>26</v>
      </c>
    </row>
    <row r="273" spans="1:18" x14ac:dyDescent="0.35">
      <c r="A273" s="1" t="s">
        <v>329</v>
      </c>
      <c r="B273" s="1" t="s">
        <v>32</v>
      </c>
      <c r="C273" s="1" t="s">
        <v>19</v>
      </c>
      <c r="D273" s="1" t="s">
        <v>71</v>
      </c>
      <c r="E273" s="1" t="s">
        <v>48</v>
      </c>
      <c r="F273">
        <v>103</v>
      </c>
      <c r="G273">
        <v>472.7</v>
      </c>
      <c r="H273" s="1" t="s">
        <v>35</v>
      </c>
      <c r="I273" s="1" t="s">
        <v>40</v>
      </c>
      <c r="J273" s="2">
        <v>45343</v>
      </c>
      <c r="K273" s="1" t="s">
        <v>24</v>
      </c>
      <c r="L273" s="1">
        <f>IF(Subscriptions[[#This Row],[churned]]="Yes",1,0)</f>
        <v>1</v>
      </c>
      <c r="M273" s="2">
        <v>45439</v>
      </c>
      <c r="N273" s="1" t="s">
        <v>56</v>
      </c>
      <c r="O273">
        <v>11</v>
      </c>
      <c r="P273">
        <v>1</v>
      </c>
      <c r="Q273">
        <v>14</v>
      </c>
      <c r="R273" s="1" t="s">
        <v>26</v>
      </c>
    </row>
    <row r="274" spans="1:18" x14ac:dyDescent="0.35">
      <c r="A274" s="1" t="s">
        <v>330</v>
      </c>
      <c r="B274" s="1" t="s">
        <v>18</v>
      </c>
      <c r="C274" s="1" t="s">
        <v>28</v>
      </c>
      <c r="D274" s="1" t="s">
        <v>42</v>
      </c>
      <c r="E274" s="1" t="s">
        <v>45</v>
      </c>
      <c r="F274">
        <v>6</v>
      </c>
      <c r="G274">
        <v>117.51</v>
      </c>
      <c r="H274" s="1" t="s">
        <v>22</v>
      </c>
      <c r="I274" s="1" t="s">
        <v>72</v>
      </c>
      <c r="J274" s="2">
        <v>46022</v>
      </c>
      <c r="K274" s="1" t="s">
        <v>26</v>
      </c>
      <c r="L274" s="1">
        <f>IF(Subscriptions[[#This Row],[churned]]="Yes",1,0)</f>
        <v>0</v>
      </c>
      <c r="M274" s="2"/>
      <c r="N274" s="1" t="s">
        <v>30</v>
      </c>
      <c r="O274">
        <v>2</v>
      </c>
      <c r="P274">
        <v>9</v>
      </c>
      <c r="Q274">
        <v>20</v>
      </c>
      <c r="R274" s="1" t="s">
        <v>26</v>
      </c>
    </row>
    <row r="275" spans="1:18" x14ac:dyDescent="0.35">
      <c r="A275" s="1" t="s">
        <v>331</v>
      </c>
      <c r="B275" s="1" t="s">
        <v>18</v>
      </c>
      <c r="C275" s="1" t="s">
        <v>28</v>
      </c>
      <c r="D275" s="1" t="s">
        <v>33</v>
      </c>
      <c r="E275" s="1" t="s">
        <v>21</v>
      </c>
      <c r="F275">
        <v>41</v>
      </c>
      <c r="G275">
        <v>470.05</v>
      </c>
      <c r="H275" s="1" t="s">
        <v>35</v>
      </c>
      <c r="I275" s="1" t="s">
        <v>40</v>
      </c>
      <c r="J275" s="2">
        <v>45882</v>
      </c>
      <c r="K275" s="1" t="s">
        <v>26</v>
      </c>
      <c r="L275" s="1">
        <f>IF(Subscriptions[[#This Row],[churned]]="Yes",1,0)</f>
        <v>0</v>
      </c>
      <c r="M275" s="2"/>
      <c r="N275" s="1" t="s">
        <v>30</v>
      </c>
      <c r="O275">
        <v>2</v>
      </c>
      <c r="P275">
        <v>8</v>
      </c>
      <c r="Q275">
        <v>37</v>
      </c>
      <c r="R275" s="1" t="s">
        <v>26</v>
      </c>
    </row>
    <row r="276" spans="1:18" x14ac:dyDescent="0.35">
      <c r="A276" s="1" t="s">
        <v>332</v>
      </c>
      <c r="B276" s="1" t="s">
        <v>37</v>
      </c>
      <c r="C276" s="1" t="s">
        <v>19</v>
      </c>
      <c r="D276" s="1" t="s">
        <v>65</v>
      </c>
      <c r="E276" s="1" t="s">
        <v>45</v>
      </c>
      <c r="F276">
        <v>6</v>
      </c>
      <c r="G276">
        <v>348.25</v>
      </c>
      <c r="H276" s="1" t="s">
        <v>22</v>
      </c>
      <c r="I276" s="1" t="s">
        <v>72</v>
      </c>
      <c r="J276" s="2">
        <v>45566</v>
      </c>
      <c r="K276" s="1" t="s">
        <v>26</v>
      </c>
      <c r="L276" s="1">
        <f>IF(Subscriptions[[#This Row],[churned]]="Yes",1,0)</f>
        <v>0</v>
      </c>
      <c r="M276" s="2"/>
      <c r="N276" s="1" t="s">
        <v>30</v>
      </c>
      <c r="O276">
        <v>7</v>
      </c>
      <c r="P276">
        <v>7</v>
      </c>
      <c r="Q276">
        <v>30</v>
      </c>
      <c r="R276" s="1" t="s">
        <v>26</v>
      </c>
    </row>
    <row r="277" spans="1:18" x14ac:dyDescent="0.35">
      <c r="A277" s="1" t="s">
        <v>333</v>
      </c>
      <c r="B277" s="1" t="s">
        <v>32</v>
      </c>
      <c r="C277" s="1" t="s">
        <v>19</v>
      </c>
      <c r="D277" s="1" t="s">
        <v>71</v>
      </c>
      <c r="E277" s="1" t="s">
        <v>48</v>
      </c>
      <c r="F277">
        <v>50</v>
      </c>
      <c r="G277">
        <v>242.15</v>
      </c>
      <c r="H277" s="1" t="s">
        <v>46</v>
      </c>
      <c r="I277" s="1" t="s">
        <v>58</v>
      </c>
      <c r="J277" s="2">
        <v>45319</v>
      </c>
      <c r="K277" s="1" t="s">
        <v>26</v>
      </c>
      <c r="L277" s="1">
        <f>IF(Subscriptions[[#This Row],[churned]]="Yes",1,0)</f>
        <v>0</v>
      </c>
      <c r="M277" s="2"/>
      <c r="N277" s="1" t="s">
        <v>30</v>
      </c>
      <c r="O277">
        <v>0</v>
      </c>
      <c r="P277">
        <v>3</v>
      </c>
      <c r="Q277">
        <v>40</v>
      </c>
      <c r="R277" s="1" t="s">
        <v>24</v>
      </c>
    </row>
    <row r="278" spans="1:18" x14ac:dyDescent="0.35">
      <c r="A278" s="1" t="s">
        <v>334</v>
      </c>
      <c r="B278" s="1" t="s">
        <v>74</v>
      </c>
      <c r="C278" s="1" t="s">
        <v>19</v>
      </c>
      <c r="D278" s="1" t="s">
        <v>65</v>
      </c>
      <c r="E278" s="1" t="s">
        <v>39</v>
      </c>
      <c r="F278">
        <v>31</v>
      </c>
      <c r="G278">
        <v>2744.5</v>
      </c>
      <c r="H278" s="1" t="s">
        <v>46</v>
      </c>
      <c r="I278" s="1" t="s">
        <v>40</v>
      </c>
      <c r="J278" s="2">
        <v>44959</v>
      </c>
      <c r="K278" s="1" t="s">
        <v>24</v>
      </c>
      <c r="L278" s="1">
        <f>IF(Subscriptions[[#This Row],[churned]]="Yes",1,0)</f>
        <v>1</v>
      </c>
      <c r="M278" s="2">
        <v>45053</v>
      </c>
      <c r="N278" s="1" t="s">
        <v>53</v>
      </c>
      <c r="O278">
        <v>3</v>
      </c>
      <c r="P278">
        <v>1</v>
      </c>
      <c r="Q278">
        <v>12</v>
      </c>
      <c r="R278" s="1" t="s">
        <v>26</v>
      </c>
    </row>
    <row r="279" spans="1:18" x14ac:dyDescent="0.35">
      <c r="A279" s="1" t="s">
        <v>335</v>
      </c>
      <c r="B279" s="1" t="s">
        <v>37</v>
      </c>
      <c r="C279" s="1" t="s">
        <v>19</v>
      </c>
      <c r="D279" s="1" t="s">
        <v>33</v>
      </c>
      <c r="E279" s="1" t="s">
        <v>21</v>
      </c>
      <c r="F279">
        <v>48</v>
      </c>
      <c r="G279">
        <v>1601.95</v>
      </c>
      <c r="H279" s="1" t="s">
        <v>22</v>
      </c>
      <c r="I279" s="1" t="s">
        <v>40</v>
      </c>
      <c r="J279" s="2">
        <v>45947</v>
      </c>
      <c r="K279" s="1" t="s">
        <v>26</v>
      </c>
      <c r="L279" s="1">
        <f>IF(Subscriptions[[#This Row],[churned]]="Yes",1,0)</f>
        <v>0</v>
      </c>
      <c r="M279" s="2"/>
      <c r="N279" s="1" t="s">
        <v>30</v>
      </c>
      <c r="O279">
        <v>7</v>
      </c>
      <c r="P279">
        <v>4</v>
      </c>
      <c r="Q279">
        <v>52</v>
      </c>
      <c r="R279" s="1" t="s">
        <v>26</v>
      </c>
    </row>
    <row r="280" spans="1:18" x14ac:dyDescent="0.35">
      <c r="A280" s="1" t="s">
        <v>336</v>
      </c>
      <c r="B280" s="1" t="s">
        <v>32</v>
      </c>
      <c r="C280" s="1" t="s">
        <v>19</v>
      </c>
      <c r="D280" s="1" t="s">
        <v>33</v>
      </c>
      <c r="E280" s="1" t="s">
        <v>45</v>
      </c>
      <c r="F280">
        <v>7</v>
      </c>
      <c r="G280">
        <v>55.1</v>
      </c>
      <c r="H280" s="1" t="s">
        <v>22</v>
      </c>
      <c r="I280" s="1" t="s">
        <v>23</v>
      </c>
      <c r="J280" s="2">
        <v>45909</v>
      </c>
      <c r="K280" s="1" t="s">
        <v>26</v>
      </c>
      <c r="L280" s="1">
        <f>IF(Subscriptions[[#This Row],[churned]]="Yes",1,0)</f>
        <v>0</v>
      </c>
      <c r="M280" s="2"/>
      <c r="N280" s="1" t="s">
        <v>30</v>
      </c>
      <c r="O280">
        <v>4</v>
      </c>
      <c r="P280">
        <v>3</v>
      </c>
      <c r="Q280">
        <v>93</v>
      </c>
      <c r="R280" s="1" t="s">
        <v>26</v>
      </c>
    </row>
    <row r="281" spans="1:18" x14ac:dyDescent="0.35">
      <c r="A281" s="1" t="s">
        <v>337</v>
      </c>
      <c r="B281" s="1" t="s">
        <v>32</v>
      </c>
      <c r="C281" s="1" t="s">
        <v>19</v>
      </c>
      <c r="D281" s="1" t="s">
        <v>55</v>
      </c>
      <c r="E281" s="1" t="s">
        <v>45</v>
      </c>
      <c r="F281">
        <v>3</v>
      </c>
      <c r="G281">
        <v>37.700000000000003</v>
      </c>
      <c r="H281" s="1" t="s">
        <v>29</v>
      </c>
      <c r="I281" s="1" t="s">
        <v>40</v>
      </c>
      <c r="J281" s="2">
        <v>45778</v>
      </c>
      <c r="K281" s="1" t="s">
        <v>26</v>
      </c>
      <c r="L281" s="1">
        <f>IF(Subscriptions[[#This Row],[churned]]="Yes",1,0)</f>
        <v>0</v>
      </c>
      <c r="M281" s="2"/>
      <c r="N281" s="1" t="s">
        <v>30</v>
      </c>
      <c r="O281">
        <v>2</v>
      </c>
      <c r="P281">
        <v>6</v>
      </c>
      <c r="Q281">
        <v>66</v>
      </c>
      <c r="R281" s="1" t="s">
        <v>26</v>
      </c>
    </row>
    <row r="282" spans="1:18" x14ac:dyDescent="0.35">
      <c r="A282" s="1" t="s">
        <v>338</v>
      </c>
      <c r="B282" s="1" t="s">
        <v>37</v>
      </c>
      <c r="C282" s="1" t="s">
        <v>28</v>
      </c>
      <c r="D282" s="1" t="s">
        <v>71</v>
      </c>
      <c r="E282" s="1" t="s">
        <v>39</v>
      </c>
      <c r="F282">
        <v>25</v>
      </c>
      <c r="G282">
        <v>778.09</v>
      </c>
      <c r="H282" s="1" t="s">
        <v>35</v>
      </c>
      <c r="I282" s="1" t="s">
        <v>23</v>
      </c>
      <c r="J282" s="2">
        <v>45819</v>
      </c>
      <c r="K282" s="1" t="s">
        <v>26</v>
      </c>
      <c r="L282" s="1">
        <f>IF(Subscriptions[[#This Row],[churned]]="Yes",1,0)</f>
        <v>0</v>
      </c>
      <c r="M282" s="2"/>
      <c r="N282" s="1" t="s">
        <v>30</v>
      </c>
      <c r="O282">
        <v>4</v>
      </c>
      <c r="P282">
        <v>3</v>
      </c>
      <c r="Q282">
        <v>90</v>
      </c>
      <c r="R282" s="1" t="s">
        <v>26</v>
      </c>
    </row>
    <row r="283" spans="1:18" x14ac:dyDescent="0.35">
      <c r="A283" s="1" t="s">
        <v>339</v>
      </c>
      <c r="B283" s="1" t="s">
        <v>18</v>
      </c>
      <c r="C283" s="1" t="s">
        <v>19</v>
      </c>
      <c r="D283" s="1" t="s">
        <v>33</v>
      </c>
      <c r="E283" s="1" t="s">
        <v>39</v>
      </c>
      <c r="F283">
        <v>15</v>
      </c>
      <c r="G283">
        <v>244.9</v>
      </c>
      <c r="H283" s="1" t="s">
        <v>35</v>
      </c>
      <c r="I283" s="1" t="s">
        <v>23</v>
      </c>
      <c r="J283" s="2">
        <v>45780</v>
      </c>
      <c r="K283" s="1" t="s">
        <v>26</v>
      </c>
      <c r="L283" s="1">
        <f>IF(Subscriptions[[#This Row],[churned]]="Yes",1,0)</f>
        <v>0</v>
      </c>
      <c r="M283" s="2"/>
      <c r="N283" s="1" t="s">
        <v>30</v>
      </c>
      <c r="O283">
        <v>1</v>
      </c>
      <c r="P283">
        <v>6</v>
      </c>
      <c r="Q283">
        <v>86</v>
      </c>
      <c r="R283" s="1" t="s">
        <v>24</v>
      </c>
    </row>
    <row r="284" spans="1:18" x14ac:dyDescent="0.35">
      <c r="A284" s="1" t="s">
        <v>340</v>
      </c>
      <c r="B284" s="1" t="s">
        <v>18</v>
      </c>
      <c r="C284" s="1" t="s">
        <v>19</v>
      </c>
      <c r="D284" s="1" t="s">
        <v>42</v>
      </c>
      <c r="E284" s="1" t="s">
        <v>21</v>
      </c>
      <c r="F284">
        <v>18</v>
      </c>
      <c r="G284">
        <v>280.45</v>
      </c>
      <c r="H284" s="1" t="s">
        <v>63</v>
      </c>
      <c r="I284" s="1" t="s">
        <v>23</v>
      </c>
      <c r="J284" s="2">
        <v>44887</v>
      </c>
      <c r="K284" s="1" t="s">
        <v>24</v>
      </c>
      <c r="L284" s="1">
        <f>IF(Subscriptions[[#This Row],[churned]]="Yes",1,0)</f>
        <v>1</v>
      </c>
      <c r="M284" s="2">
        <v>45925</v>
      </c>
      <c r="N284" s="1" t="s">
        <v>53</v>
      </c>
      <c r="O284">
        <v>6</v>
      </c>
      <c r="P284">
        <v>2</v>
      </c>
      <c r="Q284">
        <v>11</v>
      </c>
      <c r="R284" s="1" t="s">
        <v>26</v>
      </c>
    </row>
    <row r="285" spans="1:18" x14ac:dyDescent="0.35">
      <c r="A285" s="1" t="s">
        <v>341</v>
      </c>
      <c r="B285" s="1" t="s">
        <v>32</v>
      </c>
      <c r="C285" s="1" t="s">
        <v>19</v>
      </c>
      <c r="D285" s="1" t="s">
        <v>42</v>
      </c>
      <c r="E285" s="1" t="s">
        <v>48</v>
      </c>
      <c r="F285">
        <v>82</v>
      </c>
      <c r="G285">
        <v>381.35</v>
      </c>
      <c r="H285" s="1" t="s">
        <v>22</v>
      </c>
      <c r="I285" s="1" t="s">
        <v>23</v>
      </c>
      <c r="J285" s="2">
        <v>45606</v>
      </c>
      <c r="K285" s="1" t="s">
        <v>26</v>
      </c>
      <c r="L285" s="1">
        <f>IF(Subscriptions[[#This Row],[churned]]="Yes",1,0)</f>
        <v>0</v>
      </c>
      <c r="M285" s="2"/>
      <c r="N285" s="1" t="s">
        <v>30</v>
      </c>
      <c r="O285">
        <v>10</v>
      </c>
      <c r="P285">
        <v>4</v>
      </c>
      <c r="Q285">
        <v>84</v>
      </c>
      <c r="R285" s="1" t="s">
        <v>24</v>
      </c>
    </row>
    <row r="286" spans="1:18" x14ac:dyDescent="0.35">
      <c r="A286" s="1" t="s">
        <v>342</v>
      </c>
      <c r="B286" s="1" t="s">
        <v>32</v>
      </c>
      <c r="C286" s="1" t="s">
        <v>19</v>
      </c>
      <c r="D286" s="1" t="s">
        <v>55</v>
      </c>
      <c r="E286" s="1" t="s">
        <v>48</v>
      </c>
      <c r="F286">
        <v>111</v>
      </c>
      <c r="G286">
        <v>507.5</v>
      </c>
      <c r="H286" s="1" t="s">
        <v>101</v>
      </c>
      <c r="I286" s="1" t="s">
        <v>23</v>
      </c>
      <c r="J286" s="2">
        <v>46004</v>
      </c>
      <c r="K286" s="1" t="s">
        <v>26</v>
      </c>
      <c r="L286" s="1">
        <f>IF(Subscriptions[[#This Row],[churned]]="Yes",1,0)</f>
        <v>0</v>
      </c>
      <c r="M286" s="2"/>
      <c r="N286" s="1" t="s">
        <v>30</v>
      </c>
      <c r="O286">
        <v>9</v>
      </c>
      <c r="P286">
        <v>7</v>
      </c>
      <c r="Q286">
        <v>73</v>
      </c>
      <c r="R286" s="1" t="s">
        <v>26</v>
      </c>
    </row>
    <row r="287" spans="1:18" x14ac:dyDescent="0.35">
      <c r="A287" s="1" t="s">
        <v>343</v>
      </c>
      <c r="B287" s="1" t="s">
        <v>37</v>
      </c>
      <c r="C287" s="1" t="s">
        <v>28</v>
      </c>
      <c r="D287" s="1" t="s">
        <v>33</v>
      </c>
      <c r="E287" s="1" t="s">
        <v>45</v>
      </c>
      <c r="F287">
        <v>2</v>
      </c>
      <c r="G287">
        <v>194.52</v>
      </c>
      <c r="H287" s="1" t="s">
        <v>22</v>
      </c>
      <c r="I287" s="1" t="s">
        <v>72</v>
      </c>
      <c r="J287" s="2">
        <v>45109</v>
      </c>
      <c r="K287" s="1" t="s">
        <v>24</v>
      </c>
      <c r="L287" s="1">
        <f>IF(Subscriptions[[#This Row],[churned]]="Yes",1,0)</f>
        <v>1</v>
      </c>
      <c r="M287" s="2">
        <v>45194</v>
      </c>
      <c r="N287" s="1" t="s">
        <v>56</v>
      </c>
      <c r="O287">
        <v>1</v>
      </c>
      <c r="P287">
        <v>2</v>
      </c>
      <c r="Q287">
        <v>39</v>
      </c>
      <c r="R287" s="1" t="s">
        <v>26</v>
      </c>
    </row>
    <row r="288" spans="1:18" x14ac:dyDescent="0.35">
      <c r="A288" s="1" t="s">
        <v>344</v>
      </c>
      <c r="B288" s="1" t="s">
        <v>74</v>
      </c>
      <c r="C288" s="1" t="s">
        <v>19</v>
      </c>
      <c r="D288" s="1" t="s">
        <v>42</v>
      </c>
      <c r="E288" s="1" t="s">
        <v>21</v>
      </c>
      <c r="F288">
        <v>71</v>
      </c>
      <c r="G288">
        <v>5738.5</v>
      </c>
      <c r="H288" s="1" t="s">
        <v>46</v>
      </c>
      <c r="I288" s="1" t="s">
        <v>23</v>
      </c>
      <c r="J288" s="2">
        <v>44939</v>
      </c>
      <c r="K288" s="1" t="s">
        <v>26</v>
      </c>
      <c r="L288" s="1">
        <f>IF(Subscriptions[[#This Row],[churned]]="Yes",1,0)</f>
        <v>0</v>
      </c>
      <c r="M288" s="2"/>
      <c r="N288" s="1" t="s">
        <v>30</v>
      </c>
      <c r="O288">
        <v>9</v>
      </c>
      <c r="P288">
        <v>10</v>
      </c>
      <c r="Q288">
        <v>36</v>
      </c>
      <c r="R288" s="1" t="s">
        <v>26</v>
      </c>
    </row>
    <row r="289" spans="1:18" x14ac:dyDescent="0.35">
      <c r="A289" s="1" t="s">
        <v>345</v>
      </c>
      <c r="B289" s="1" t="s">
        <v>37</v>
      </c>
      <c r="C289" s="1" t="s">
        <v>19</v>
      </c>
      <c r="D289" s="1" t="s">
        <v>44</v>
      </c>
      <c r="E289" s="1" t="s">
        <v>39</v>
      </c>
      <c r="F289">
        <v>19</v>
      </c>
      <c r="G289">
        <v>736.3</v>
      </c>
      <c r="H289" s="1" t="s">
        <v>22</v>
      </c>
      <c r="I289" s="1" t="s">
        <v>23</v>
      </c>
      <c r="J289" s="2">
        <v>45738</v>
      </c>
      <c r="K289" s="1" t="s">
        <v>26</v>
      </c>
      <c r="L289" s="1">
        <f>IF(Subscriptions[[#This Row],[churned]]="Yes",1,0)</f>
        <v>0</v>
      </c>
      <c r="M289" s="2"/>
      <c r="N289" s="1" t="s">
        <v>30</v>
      </c>
      <c r="O289">
        <v>12</v>
      </c>
      <c r="P289">
        <v>9</v>
      </c>
      <c r="Q289">
        <v>47</v>
      </c>
      <c r="R289" s="1" t="s">
        <v>24</v>
      </c>
    </row>
    <row r="290" spans="1:18" x14ac:dyDescent="0.35">
      <c r="A290" s="1" t="s">
        <v>346</v>
      </c>
      <c r="B290" s="1" t="s">
        <v>18</v>
      </c>
      <c r="C290" s="1" t="s">
        <v>19</v>
      </c>
      <c r="D290" s="1" t="s">
        <v>42</v>
      </c>
      <c r="E290" s="1" t="s">
        <v>21</v>
      </c>
      <c r="F290">
        <v>51</v>
      </c>
      <c r="G290">
        <v>671.5</v>
      </c>
      <c r="H290" s="1" t="s">
        <v>22</v>
      </c>
      <c r="I290" s="1" t="s">
        <v>23</v>
      </c>
      <c r="J290" s="2">
        <v>44567</v>
      </c>
      <c r="K290" s="1" t="s">
        <v>26</v>
      </c>
      <c r="L290" s="1">
        <f>IF(Subscriptions[[#This Row],[churned]]="Yes",1,0)</f>
        <v>0</v>
      </c>
      <c r="M290" s="2"/>
      <c r="N290" s="1" t="s">
        <v>30</v>
      </c>
      <c r="O290">
        <v>3</v>
      </c>
      <c r="P290">
        <v>7</v>
      </c>
      <c r="Q290">
        <v>75</v>
      </c>
      <c r="R290" s="1" t="s">
        <v>26</v>
      </c>
    </row>
    <row r="291" spans="1:18" x14ac:dyDescent="0.35">
      <c r="A291" s="1" t="s">
        <v>347</v>
      </c>
      <c r="B291" s="1" t="s">
        <v>37</v>
      </c>
      <c r="C291" s="1" t="s">
        <v>28</v>
      </c>
      <c r="D291" s="1" t="s">
        <v>82</v>
      </c>
      <c r="E291" s="1" t="s">
        <v>48</v>
      </c>
      <c r="F291">
        <v>55</v>
      </c>
      <c r="G291">
        <v>1539.27</v>
      </c>
      <c r="H291" s="1" t="s">
        <v>63</v>
      </c>
      <c r="I291" s="1" t="s">
        <v>72</v>
      </c>
      <c r="J291" s="2">
        <v>44771</v>
      </c>
      <c r="K291" s="1" t="s">
        <v>24</v>
      </c>
      <c r="L291" s="1">
        <f>IF(Subscriptions[[#This Row],[churned]]="Yes",1,0)</f>
        <v>1</v>
      </c>
      <c r="M291" s="2">
        <v>45441</v>
      </c>
      <c r="N291" s="1" t="s">
        <v>49</v>
      </c>
      <c r="O291">
        <v>8</v>
      </c>
      <c r="P291">
        <v>2</v>
      </c>
      <c r="Q291">
        <v>34</v>
      </c>
      <c r="R291" s="1" t="s">
        <v>26</v>
      </c>
    </row>
    <row r="292" spans="1:18" x14ac:dyDescent="0.35">
      <c r="A292" s="1" t="s">
        <v>348</v>
      </c>
      <c r="B292" s="1" t="s">
        <v>74</v>
      </c>
      <c r="C292" s="1" t="s">
        <v>28</v>
      </c>
      <c r="D292" s="1" t="s">
        <v>33</v>
      </c>
      <c r="E292" s="1" t="s">
        <v>21</v>
      </c>
      <c r="F292">
        <v>16</v>
      </c>
      <c r="G292">
        <v>1378.49</v>
      </c>
      <c r="H292" s="1" t="s">
        <v>101</v>
      </c>
      <c r="I292" s="1" t="s">
        <v>23</v>
      </c>
      <c r="J292" s="2">
        <v>44938</v>
      </c>
      <c r="K292" s="1" t="s">
        <v>26</v>
      </c>
      <c r="L292" s="1">
        <f>IF(Subscriptions[[#This Row],[churned]]="Yes",1,0)</f>
        <v>0</v>
      </c>
      <c r="M292" s="2"/>
      <c r="N292" s="1" t="s">
        <v>30</v>
      </c>
      <c r="O292">
        <v>9</v>
      </c>
      <c r="P292">
        <v>6</v>
      </c>
      <c r="Q292">
        <v>31</v>
      </c>
      <c r="R292" s="1" t="s">
        <v>26</v>
      </c>
    </row>
    <row r="293" spans="1:18" x14ac:dyDescent="0.35">
      <c r="A293" s="1" t="s">
        <v>349</v>
      </c>
      <c r="B293" s="1" t="s">
        <v>18</v>
      </c>
      <c r="C293" s="1" t="s">
        <v>19</v>
      </c>
      <c r="D293" s="1" t="s">
        <v>44</v>
      </c>
      <c r="E293" s="1" t="s">
        <v>45</v>
      </c>
      <c r="F293">
        <v>8</v>
      </c>
      <c r="G293">
        <v>161.94999999999999</v>
      </c>
      <c r="H293" s="1" t="s">
        <v>29</v>
      </c>
      <c r="I293" s="1" t="s">
        <v>23</v>
      </c>
      <c r="J293" s="2">
        <v>45110</v>
      </c>
      <c r="K293" s="1" t="s">
        <v>24</v>
      </c>
      <c r="L293" s="1">
        <f>IF(Subscriptions[[#This Row],[churned]]="Yes",1,0)</f>
        <v>1</v>
      </c>
      <c r="M293" s="2">
        <v>45688</v>
      </c>
      <c r="N293" s="1" t="s">
        <v>53</v>
      </c>
      <c r="O293">
        <v>3</v>
      </c>
      <c r="P293">
        <v>1</v>
      </c>
      <c r="Q293">
        <v>32</v>
      </c>
      <c r="R293" s="1" t="s">
        <v>26</v>
      </c>
    </row>
    <row r="294" spans="1:18" x14ac:dyDescent="0.35">
      <c r="A294" s="1" t="s">
        <v>350</v>
      </c>
      <c r="B294" s="1" t="s">
        <v>18</v>
      </c>
      <c r="C294" s="1" t="s">
        <v>19</v>
      </c>
      <c r="D294" s="1" t="s">
        <v>33</v>
      </c>
      <c r="E294" s="1" t="s">
        <v>39</v>
      </c>
      <c r="F294">
        <v>24</v>
      </c>
      <c r="G294">
        <v>351.55</v>
      </c>
      <c r="H294" s="1" t="s">
        <v>29</v>
      </c>
      <c r="I294" s="1" t="s">
        <v>23</v>
      </c>
      <c r="J294" s="2">
        <v>44613</v>
      </c>
      <c r="K294" s="1" t="s">
        <v>24</v>
      </c>
      <c r="L294" s="1">
        <f>IF(Subscriptions[[#This Row],[churned]]="Yes",1,0)</f>
        <v>1</v>
      </c>
      <c r="M294" s="2">
        <v>44784</v>
      </c>
      <c r="N294" s="1" t="s">
        <v>53</v>
      </c>
      <c r="O294">
        <v>8</v>
      </c>
      <c r="P294">
        <v>1</v>
      </c>
      <c r="Q294">
        <v>35</v>
      </c>
      <c r="R294" s="1" t="s">
        <v>26</v>
      </c>
    </row>
    <row r="295" spans="1:18" x14ac:dyDescent="0.35">
      <c r="A295" s="1" t="s">
        <v>351</v>
      </c>
      <c r="B295" s="1" t="s">
        <v>37</v>
      </c>
      <c r="C295" s="1" t="s">
        <v>19</v>
      </c>
      <c r="D295" s="1" t="s">
        <v>33</v>
      </c>
      <c r="E295" s="1" t="s">
        <v>21</v>
      </c>
      <c r="F295">
        <v>51</v>
      </c>
      <c r="G295">
        <v>1691.5</v>
      </c>
      <c r="H295" s="1" t="s">
        <v>46</v>
      </c>
      <c r="I295" s="1" t="s">
        <v>23</v>
      </c>
      <c r="J295" s="2">
        <v>45891</v>
      </c>
      <c r="K295" s="1" t="s">
        <v>24</v>
      </c>
      <c r="L295" s="1">
        <f>IF(Subscriptions[[#This Row],[churned]]="Yes",1,0)</f>
        <v>1</v>
      </c>
      <c r="M295" s="2">
        <v>45975</v>
      </c>
      <c r="N295" s="1" t="s">
        <v>53</v>
      </c>
      <c r="O295">
        <v>1</v>
      </c>
      <c r="P295">
        <v>4</v>
      </c>
      <c r="Q295">
        <v>25</v>
      </c>
      <c r="R295" s="1" t="s">
        <v>26</v>
      </c>
    </row>
    <row r="296" spans="1:18" x14ac:dyDescent="0.35">
      <c r="A296" s="1" t="s">
        <v>352</v>
      </c>
      <c r="B296" s="1" t="s">
        <v>32</v>
      </c>
      <c r="C296" s="1" t="s">
        <v>19</v>
      </c>
      <c r="D296" s="1" t="s">
        <v>42</v>
      </c>
      <c r="E296" s="1" t="s">
        <v>48</v>
      </c>
      <c r="F296">
        <v>34</v>
      </c>
      <c r="G296">
        <v>172.55</v>
      </c>
      <c r="H296" s="1" t="s">
        <v>46</v>
      </c>
      <c r="I296" s="1" t="s">
        <v>40</v>
      </c>
      <c r="J296" s="2">
        <v>44846</v>
      </c>
      <c r="K296" s="1" t="s">
        <v>24</v>
      </c>
      <c r="L296" s="1">
        <f>IF(Subscriptions[[#This Row],[churned]]="Yes",1,0)</f>
        <v>1</v>
      </c>
      <c r="M296" s="2">
        <v>44863</v>
      </c>
      <c r="N296" s="1" t="s">
        <v>56</v>
      </c>
      <c r="O296">
        <v>6</v>
      </c>
      <c r="P296">
        <v>4</v>
      </c>
      <c r="Q296">
        <v>12</v>
      </c>
      <c r="R296" s="1" t="s">
        <v>26</v>
      </c>
    </row>
    <row r="297" spans="1:18" x14ac:dyDescent="0.35">
      <c r="A297" s="1" t="s">
        <v>353</v>
      </c>
      <c r="B297" s="1" t="s">
        <v>32</v>
      </c>
      <c r="C297" s="1" t="s">
        <v>19</v>
      </c>
      <c r="D297" s="1" t="s">
        <v>65</v>
      </c>
      <c r="E297" s="1" t="s">
        <v>48</v>
      </c>
      <c r="F297">
        <v>146</v>
      </c>
      <c r="G297">
        <v>659.75</v>
      </c>
      <c r="H297" s="1" t="s">
        <v>35</v>
      </c>
      <c r="I297" s="1" t="s">
        <v>23</v>
      </c>
      <c r="J297" s="2">
        <v>45218</v>
      </c>
      <c r="K297" s="1" t="s">
        <v>24</v>
      </c>
      <c r="L297" s="1">
        <f>IF(Subscriptions[[#This Row],[churned]]="Yes",1,0)</f>
        <v>1</v>
      </c>
      <c r="M297" s="2">
        <v>45240</v>
      </c>
      <c r="N297" s="1" t="s">
        <v>25</v>
      </c>
      <c r="O297">
        <v>8</v>
      </c>
      <c r="P297">
        <v>3</v>
      </c>
      <c r="Q297">
        <v>13</v>
      </c>
      <c r="R297" s="1" t="s">
        <v>26</v>
      </c>
    </row>
    <row r="298" spans="1:18" x14ac:dyDescent="0.35">
      <c r="A298" s="1" t="s">
        <v>354</v>
      </c>
      <c r="B298" s="1" t="s">
        <v>37</v>
      </c>
      <c r="C298" s="1" t="s">
        <v>19</v>
      </c>
      <c r="D298" s="1" t="s">
        <v>44</v>
      </c>
      <c r="E298" s="1" t="s">
        <v>21</v>
      </c>
      <c r="F298">
        <v>36</v>
      </c>
      <c r="G298">
        <v>1243.75</v>
      </c>
      <c r="H298" s="1" t="s">
        <v>63</v>
      </c>
      <c r="I298" s="1" t="s">
        <v>23</v>
      </c>
      <c r="J298" s="2">
        <v>45645</v>
      </c>
      <c r="K298" s="1" t="s">
        <v>26</v>
      </c>
      <c r="L298" s="1">
        <f>IF(Subscriptions[[#This Row],[churned]]="Yes",1,0)</f>
        <v>0</v>
      </c>
      <c r="M298" s="2"/>
      <c r="N298" s="1" t="s">
        <v>30</v>
      </c>
      <c r="O298">
        <v>6</v>
      </c>
      <c r="P298">
        <v>10</v>
      </c>
      <c r="Q298">
        <v>82</v>
      </c>
      <c r="R298" s="1" t="s">
        <v>26</v>
      </c>
    </row>
    <row r="299" spans="1:18" x14ac:dyDescent="0.35">
      <c r="A299" s="1" t="s">
        <v>355</v>
      </c>
      <c r="B299" s="1" t="s">
        <v>32</v>
      </c>
      <c r="C299" s="1" t="s">
        <v>19</v>
      </c>
      <c r="D299" s="1" t="s">
        <v>65</v>
      </c>
      <c r="E299" s="1" t="s">
        <v>21</v>
      </c>
      <c r="F299">
        <v>70</v>
      </c>
      <c r="G299">
        <v>329.15</v>
      </c>
      <c r="H299" s="1" t="s">
        <v>29</v>
      </c>
      <c r="I299" s="1" t="s">
        <v>72</v>
      </c>
      <c r="J299" s="2">
        <v>45105</v>
      </c>
      <c r="K299" s="1" t="s">
        <v>24</v>
      </c>
      <c r="L299" s="1">
        <f>IF(Subscriptions[[#This Row],[churned]]="Yes",1,0)</f>
        <v>1</v>
      </c>
      <c r="M299" s="2">
        <v>45531</v>
      </c>
      <c r="N299" s="1" t="s">
        <v>56</v>
      </c>
      <c r="O299">
        <v>15</v>
      </c>
      <c r="P299">
        <v>2</v>
      </c>
      <c r="Q299">
        <v>11</v>
      </c>
      <c r="R299" s="1" t="s">
        <v>26</v>
      </c>
    </row>
    <row r="300" spans="1:18" x14ac:dyDescent="0.35">
      <c r="A300" s="1" t="s">
        <v>356</v>
      </c>
      <c r="B300" s="1" t="s">
        <v>37</v>
      </c>
      <c r="C300" s="1" t="s">
        <v>19</v>
      </c>
      <c r="D300" s="1" t="s">
        <v>20</v>
      </c>
      <c r="E300" s="1" t="s">
        <v>39</v>
      </c>
      <c r="F300">
        <v>13</v>
      </c>
      <c r="G300">
        <v>557.20000000000005</v>
      </c>
      <c r="H300" s="1" t="s">
        <v>22</v>
      </c>
      <c r="I300" s="1" t="s">
        <v>23</v>
      </c>
      <c r="J300" s="2">
        <v>44680</v>
      </c>
      <c r="K300" s="1" t="s">
        <v>24</v>
      </c>
      <c r="L300" s="1">
        <f>IF(Subscriptions[[#This Row],[churned]]="Yes",1,0)</f>
        <v>1</v>
      </c>
      <c r="M300" s="2">
        <v>44757</v>
      </c>
      <c r="N300" s="1" t="s">
        <v>25</v>
      </c>
      <c r="O300">
        <v>6</v>
      </c>
      <c r="P300">
        <v>6</v>
      </c>
      <c r="Q300">
        <v>43</v>
      </c>
      <c r="R300" s="1" t="s">
        <v>26</v>
      </c>
    </row>
    <row r="301" spans="1:18" x14ac:dyDescent="0.35">
      <c r="A301" s="1" t="s">
        <v>357</v>
      </c>
      <c r="B301" s="1" t="s">
        <v>32</v>
      </c>
      <c r="C301" s="1" t="s">
        <v>19</v>
      </c>
      <c r="D301" s="1" t="s">
        <v>42</v>
      </c>
      <c r="E301" s="1" t="s">
        <v>39</v>
      </c>
      <c r="F301">
        <v>23</v>
      </c>
      <c r="G301">
        <v>124.7</v>
      </c>
      <c r="H301" s="1" t="s">
        <v>63</v>
      </c>
      <c r="I301" s="1" t="s">
        <v>40</v>
      </c>
      <c r="J301" s="2">
        <v>45814</v>
      </c>
      <c r="K301" s="1" t="s">
        <v>26</v>
      </c>
      <c r="L301" s="1">
        <f>IF(Subscriptions[[#This Row],[churned]]="Yes",1,0)</f>
        <v>0</v>
      </c>
      <c r="M301" s="2"/>
      <c r="N301" s="1" t="s">
        <v>30</v>
      </c>
      <c r="O301">
        <v>11</v>
      </c>
      <c r="P301">
        <v>10</v>
      </c>
      <c r="Q301">
        <v>44</v>
      </c>
      <c r="R301" s="1" t="s">
        <v>26</v>
      </c>
    </row>
    <row r="302" spans="1:18" x14ac:dyDescent="0.35">
      <c r="A302" s="1" t="s">
        <v>358</v>
      </c>
      <c r="B302" s="1" t="s">
        <v>18</v>
      </c>
      <c r="C302" s="1" t="s">
        <v>28</v>
      </c>
      <c r="D302" s="1" t="s">
        <v>71</v>
      </c>
      <c r="E302" s="1" t="s">
        <v>48</v>
      </c>
      <c r="F302">
        <v>108</v>
      </c>
      <c r="G302">
        <v>1144.9100000000001</v>
      </c>
      <c r="H302" s="1" t="s">
        <v>22</v>
      </c>
      <c r="I302" s="1" t="s">
        <v>23</v>
      </c>
      <c r="J302" s="2">
        <v>45640</v>
      </c>
      <c r="K302" s="1" t="s">
        <v>26</v>
      </c>
      <c r="L302" s="1">
        <f>IF(Subscriptions[[#This Row],[churned]]="Yes",1,0)</f>
        <v>0</v>
      </c>
      <c r="M302" s="2"/>
      <c r="N302" s="1" t="s">
        <v>30</v>
      </c>
      <c r="O302">
        <v>3</v>
      </c>
      <c r="P302">
        <v>6</v>
      </c>
      <c r="Q302">
        <v>32</v>
      </c>
      <c r="R302" s="1" t="s">
        <v>24</v>
      </c>
    </row>
    <row r="303" spans="1:18" x14ac:dyDescent="0.35">
      <c r="A303" s="1" t="s">
        <v>359</v>
      </c>
      <c r="B303" s="1" t="s">
        <v>37</v>
      </c>
      <c r="C303" s="1" t="s">
        <v>28</v>
      </c>
      <c r="D303" s="1" t="s">
        <v>33</v>
      </c>
      <c r="E303" s="1" t="s">
        <v>39</v>
      </c>
      <c r="F303">
        <v>19</v>
      </c>
      <c r="G303">
        <v>625.86</v>
      </c>
      <c r="H303" s="1" t="s">
        <v>63</v>
      </c>
      <c r="I303" s="1" t="s">
        <v>23</v>
      </c>
      <c r="J303" s="2">
        <v>45024</v>
      </c>
      <c r="K303" s="1" t="s">
        <v>26</v>
      </c>
      <c r="L303" s="1">
        <f>IF(Subscriptions[[#This Row],[churned]]="Yes",1,0)</f>
        <v>0</v>
      </c>
      <c r="M303" s="2"/>
      <c r="N303" s="1" t="s">
        <v>30</v>
      </c>
      <c r="O303">
        <v>8</v>
      </c>
      <c r="P303">
        <v>10</v>
      </c>
      <c r="Q303">
        <v>53</v>
      </c>
      <c r="R303" s="1" t="s">
        <v>26</v>
      </c>
    </row>
    <row r="304" spans="1:18" x14ac:dyDescent="0.35">
      <c r="A304" s="1" t="s">
        <v>360</v>
      </c>
      <c r="B304" s="1" t="s">
        <v>37</v>
      </c>
      <c r="C304" s="1" t="s">
        <v>28</v>
      </c>
      <c r="D304" s="1" t="s">
        <v>82</v>
      </c>
      <c r="E304" s="1" t="s">
        <v>39</v>
      </c>
      <c r="F304">
        <v>22</v>
      </c>
      <c r="G304">
        <v>701.97</v>
      </c>
      <c r="H304" s="1" t="s">
        <v>101</v>
      </c>
      <c r="I304" s="1" t="s">
        <v>72</v>
      </c>
      <c r="J304" s="2">
        <v>44585</v>
      </c>
      <c r="K304" s="1" t="s">
        <v>24</v>
      </c>
      <c r="L304" s="1">
        <f>IF(Subscriptions[[#This Row],[churned]]="Yes",1,0)</f>
        <v>1</v>
      </c>
      <c r="M304" s="2">
        <v>45272</v>
      </c>
      <c r="N304" s="1" t="s">
        <v>49</v>
      </c>
      <c r="O304">
        <v>1</v>
      </c>
      <c r="P304">
        <v>5</v>
      </c>
      <c r="Q304">
        <v>10</v>
      </c>
      <c r="R304" s="1" t="s">
        <v>26</v>
      </c>
    </row>
    <row r="305" spans="1:18" x14ac:dyDescent="0.35">
      <c r="A305" s="1" t="s">
        <v>361</v>
      </c>
      <c r="B305" s="1" t="s">
        <v>18</v>
      </c>
      <c r="C305" s="1" t="s">
        <v>28</v>
      </c>
      <c r="D305" s="1" t="s">
        <v>52</v>
      </c>
      <c r="E305" s="1" t="s">
        <v>39</v>
      </c>
      <c r="F305">
        <v>29</v>
      </c>
      <c r="G305">
        <v>349.18</v>
      </c>
      <c r="H305" s="1" t="s">
        <v>46</v>
      </c>
      <c r="I305" s="1" t="s">
        <v>23</v>
      </c>
      <c r="J305" s="2">
        <v>44898</v>
      </c>
      <c r="K305" s="1" t="s">
        <v>24</v>
      </c>
      <c r="L305" s="1">
        <f>IF(Subscriptions[[#This Row],[churned]]="Yes",1,0)</f>
        <v>1</v>
      </c>
      <c r="M305" s="2">
        <v>44976</v>
      </c>
      <c r="N305" s="1" t="s">
        <v>66</v>
      </c>
      <c r="O305">
        <v>14</v>
      </c>
      <c r="P305">
        <v>3</v>
      </c>
      <c r="Q305">
        <v>32</v>
      </c>
      <c r="R305" s="1" t="s">
        <v>26</v>
      </c>
    </row>
    <row r="306" spans="1:18" x14ac:dyDescent="0.35">
      <c r="A306" s="1" t="s">
        <v>362</v>
      </c>
      <c r="B306" s="1" t="s">
        <v>37</v>
      </c>
      <c r="C306" s="1" t="s">
        <v>19</v>
      </c>
      <c r="D306" s="1" t="s">
        <v>42</v>
      </c>
      <c r="E306" s="1" t="s">
        <v>48</v>
      </c>
      <c r="F306">
        <v>99</v>
      </c>
      <c r="G306">
        <v>3124.3</v>
      </c>
      <c r="H306" s="1" t="s">
        <v>35</v>
      </c>
      <c r="I306" s="1" t="s">
        <v>23</v>
      </c>
      <c r="J306" s="2">
        <v>45712</v>
      </c>
      <c r="K306" s="1" t="s">
        <v>26</v>
      </c>
      <c r="L306" s="1">
        <f>IF(Subscriptions[[#This Row],[churned]]="Yes",1,0)</f>
        <v>0</v>
      </c>
      <c r="M306" s="2"/>
      <c r="N306" s="1" t="s">
        <v>30</v>
      </c>
      <c r="O306">
        <v>8</v>
      </c>
      <c r="P306">
        <v>7</v>
      </c>
      <c r="Q306">
        <v>17</v>
      </c>
      <c r="R306" s="1" t="s">
        <v>26</v>
      </c>
    </row>
    <row r="307" spans="1:18" x14ac:dyDescent="0.35">
      <c r="A307" s="1" t="s">
        <v>363</v>
      </c>
      <c r="B307" s="1" t="s">
        <v>37</v>
      </c>
      <c r="C307" s="1" t="s">
        <v>19</v>
      </c>
      <c r="D307" s="1" t="s">
        <v>71</v>
      </c>
      <c r="E307" s="1" t="s">
        <v>39</v>
      </c>
      <c r="F307">
        <v>26</v>
      </c>
      <c r="G307">
        <v>945.25</v>
      </c>
      <c r="H307" s="1" t="s">
        <v>22</v>
      </c>
      <c r="I307" s="1" t="s">
        <v>40</v>
      </c>
      <c r="J307" s="2">
        <v>45641</v>
      </c>
      <c r="K307" s="1" t="s">
        <v>26</v>
      </c>
      <c r="L307" s="1">
        <f>IF(Subscriptions[[#This Row],[churned]]="Yes",1,0)</f>
        <v>0</v>
      </c>
      <c r="M307" s="2"/>
      <c r="N307" s="1" t="s">
        <v>30</v>
      </c>
      <c r="O307">
        <v>4</v>
      </c>
      <c r="P307">
        <v>6</v>
      </c>
      <c r="Q307">
        <v>41</v>
      </c>
      <c r="R307" s="1" t="s">
        <v>26</v>
      </c>
    </row>
    <row r="308" spans="1:18" x14ac:dyDescent="0.35">
      <c r="A308" s="1" t="s">
        <v>364</v>
      </c>
      <c r="B308" s="1" t="s">
        <v>74</v>
      </c>
      <c r="C308" s="1" t="s">
        <v>28</v>
      </c>
      <c r="D308" s="1" t="s">
        <v>42</v>
      </c>
      <c r="E308" s="1" t="s">
        <v>21</v>
      </c>
      <c r="F308">
        <v>50</v>
      </c>
      <c r="G308">
        <v>3541.65</v>
      </c>
      <c r="H308" s="1" t="s">
        <v>22</v>
      </c>
      <c r="I308" s="1" t="s">
        <v>23</v>
      </c>
      <c r="J308" s="2">
        <v>45697</v>
      </c>
      <c r="K308" s="1" t="s">
        <v>26</v>
      </c>
      <c r="L308" s="1">
        <f>IF(Subscriptions[[#This Row],[churned]]="Yes",1,0)</f>
        <v>0</v>
      </c>
      <c r="M308" s="2"/>
      <c r="N308" s="1" t="s">
        <v>30</v>
      </c>
      <c r="O308">
        <v>9</v>
      </c>
      <c r="P308">
        <v>9</v>
      </c>
      <c r="Q308">
        <v>36</v>
      </c>
      <c r="R308" s="1" t="s">
        <v>26</v>
      </c>
    </row>
    <row r="309" spans="1:18" x14ac:dyDescent="0.35">
      <c r="A309" s="1" t="s">
        <v>365</v>
      </c>
      <c r="B309" s="1" t="s">
        <v>37</v>
      </c>
      <c r="C309" s="1" t="s">
        <v>28</v>
      </c>
      <c r="D309" s="1" t="s">
        <v>82</v>
      </c>
      <c r="E309" s="1" t="s">
        <v>39</v>
      </c>
      <c r="F309">
        <v>21</v>
      </c>
      <c r="G309">
        <v>676.6</v>
      </c>
      <c r="H309" s="1" t="s">
        <v>63</v>
      </c>
      <c r="I309" s="1" t="s">
        <v>23</v>
      </c>
      <c r="J309" s="2">
        <v>45920</v>
      </c>
      <c r="K309" s="1" t="s">
        <v>26</v>
      </c>
      <c r="L309" s="1">
        <f>IF(Subscriptions[[#This Row],[churned]]="Yes",1,0)</f>
        <v>0</v>
      </c>
      <c r="M309" s="2"/>
      <c r="N309" s="1" t="s">
        <v>30</v>
      </c>
      <c r="O309">
        <v>0</v>
      </c>
      <c r="P309">
        <v>8</v>
      </c>
      <c r="Q309">
        <v>91</v>
      </c>
      <c r="R309" s="1" t="s">
        <v>26</v>
      </c>
    </row>
    <row r="310" spans="1:18" x14ac:dyDescent="0.35">
      <c r="A310" s="1" t="s">
        <v>366</v>
      </c>
      <c r="B310" s="1" t="s">
        <v>32</v>
      </c>
      <c r="C310" s="1" t="s">
        <v>28</v>
      </c>
      <c r="D310" s="1" t="s">
        <v>42</v>
      </c>
      <c r="E310" s="1" t="s">
        <v>45</v>
      </c>
      <c r="F310">
        <v>7</v>
      </c>
      <c r="G310">
        <v>46.83</v>
      </c>
      <c r="H310" s="1" t="s">
        <v>63</v>
      </c>
      <c r="I310" s="1" t="s">
        <v>23</v>
      </c>
      <c r="J310" s="2">
        <v>45172</v>
      </c>
      <c r="K310" s="1" t="s">
        <v>24</v>
      </c>
      <c r="L310" s="1">
        <f>IF(Subscriptions[[#This Row],[churned]]="Yes",1,0)</f>
        <v>1</v>
      </c>
      <c r="M310" s="2">
        <v>45300</v>
      </c>
      <c r="N310" s="1" t="s">
        <v>49</v>
      </c>
      <c r="O310">
        <v>5</v>
      </c>
      <c r="P310">
        <v>2</v>
      </c>
      <c r="Q310">
        <v>41</v>
      </c>
      <c r="R310" s="1" t="s">
        <v>26</v>
      </c>
    </row>
    <row r="311" spans="1:18" x14ac:dyDescent="0.35">
      <c r="A311" s="1" t="s">
        <v>367</v>
      </c>
      <c r="B311" s="1" t="s">
        <v>32</v>
      </c>
      <c r="C311" s="1" t="s">
        <v>19</v>
      </c>
      <c r="D311" s="1" t="s">
        <v>71</v>
      </c>
      <c r="E311" s="1" t="s">
        <v>48</v>
      </c>
      <c r="F311">
        <v>71</v>
      </c>
      <c r="G311">
        <v>333.5</v>
      </c>
      <c r="H311" s="1" t="s">
        <v>29</v>
      </c>
      <c r="I311" s="1" t="s">
        <v>40</v>
      </c>
      <c r="J311" s="2">
        <v>45115</v>
      </c>
      <c r="K311" s="1" t="s">
        <v>24</v>
      </c>
      <c r="L311" s="1">
        <f>IF(Subscriptions[[#This Row],[churned]]="Yes",1,0)</f>
        <v>1</v>
      </c>
      <c r="M311" s="2">
        <v>45333</v>
      </c>
      <c r="N311" s="1" t="s">
        <v>66</v>
      </c>
      <c r="O311">
        <v>1</v>
      </c>
      <c r="P311">
        <v>3</v>
      </c>
      <c r="Q311">
        <v>14</v>
      </c>
      <c r="R311" s="1" t="s">
        <v>26</v>
      </c>
    </row>
    <row r="312" spans="1:18" x14ac:dyDescent="0.35">
      <c r="A312" s="1" t="s">
        <v>368</v>
      </c>
      <c r="B312" s="1" t="s">
        <v>18</v>
      </c>
      <c r="C312" s="1" t="s">
        <v>28</v>
      </c>
      <c r="D312" s="1" t="s">
        <v>33</v>
      </c>
      <c r="E312" s="1" t="s">
        <v>34</v>
      </c>
      <c r="F312">
        <v>290</v>
      </c>
      <c r="G312">
        <v>2978.1</v>
      </c>
      <c r="H312" s="1" t="s">
        <v>46</v>
      </c>
      <c r="I312" s="1" t="s">
        <v>23</v>
      </c>
      <c r="J312" s="2">
        <v>45337</v>
      </c>
      <c r="K312" s="1" t="s">
        <v>26</v>
      </c>
      <c r="L312" s="1">
        <f>IF(Subscriptions[[#This Row],[churned]]="Yes",1,0)</f>
        <v>0</v>
      </c>
      <c r="M312" s="2"/>
      <c r="N312" s="1" t="s">
        <v>30</v>
      </c>
      <c r="O312">
        <v>9</v>
      </c>
      <c r="P312">
        <v>9</v>
      </c>
      <c r="Q312">
        <v>39</v>
      </c>
      <c r="R312" s="1" t="s">
        <v>26</v>
      </c>
    </row>
    <row r="313" spans="1:18" x14ac:dyDescent="0.35">
      <c r="A313" s="1" t="s">
        <v>369</v>
      </c>
      <c r="B313" s="1" t="s">
        <v>32</v>
      </c>
      <c r="C313" s="1" t="s">
        <v>28</v>
      </c>
      <c r="D313" s="1" t="s">
        <v>38</v>
      </c>
      <c r="E313" s="1" t="s">
        <v>48</v>
      </c>
      <c r="F313">
        <v>36</v>
      </c>
      <c r="G313">
        <v>154.06</v>
      </c>
      <c r="H313" s="1" t="s">
        <v>35</v>
      </c>
      <c r="I313" s="1" t="s">
        <v>58</v>
      </c>
      <c r="J313" s="2">
        <v>45357</v>
      </c>
      <c r="K313" s="1" t="s">
        <v>24</v>
      </c>
      <c r="L313" s="1">
        <f>IF(Subscriptions[[#This Row],[churned]]="Yes",1,0)</f>
        <v>1</v>
      </c>
      <c r="M313" s="2">
        <v>45536</v>
      </c>
      <c r="N313" s="1" t="s">
        <v>53</v>
      </c>
      <c r="O313">
        <v>4</v>
      </c>
      <c r="P313">
        <v>5</v>
      </c>
      <c r="Q313">
        <v>42</v>
      </c>
      <c r="R313" s="1" t="s">
        <v>26</v>
      </c>
    </row>
    <row r="314" spans="1:18" x14ac:dyDescent="0.35">
      <c r="A314" s="1" t="s">
        <v>370</v>
      </c>
      <c r="B314" s="1" t="s">
        <v>32</v>
      </c>
      <c r="C314" s="1" t="s">
        <v>19</v>
      </c>
      <c r="D314" s="1" t="s">
        <v>65</v>
      </c>
      <c r="E314" s="1" t="s">
        <v>21</v>
      </c>
      <c r="F314">
        <v>74</v>
      </c>
      <c r="G314">
        <v>346.55</v>
      </c>
      <c r="H314" s="1" t="s">
        <v>22</v>
      </c>
      <c r="I314" s="1" t="s">
        <v>40</v>
      </c>
      <c r="J314" s="2">
        <v>45679</v>
      </c>
      <c r="K314" s="1" t="s">
        <v>26</v>
      </c>
      <c r="L314" s="1">
        <f>IF(Subscriptions[[#This Row],[churned]]="Yes",1,0)</f>
        <v>0</v>
      </c>
      <c r="M314" s="2"/>
      <c r="N314" s="1" t="s">
        <v>30</v>
      </c>
      <c r="O314">
        <v>3</v>
      </c>
      <c r="P314">
        <v>4</v>
      </c>
      <c r="Q314">
        <v>18</v>
      </c>
      <c r="R314" s="1" t="s">
        <v>26</v>
      </c>
    </row>
    <row r="315" spans="1:18" x14ac:dyDescent="0.35">
      <c r="A315" s="1" t="s">
        <v>371</v>
      </c>
      <c r="B315" s="1" t="s">
        <v>32</v>
      </c>
      <c r="C315" s="1" t="s">
        <v>28</v>
      </c>
      <c r="D315" s="1" t="s">
        <v>52</v>
      </c>
      <c r="E315" s="1" t="s">
        <v>45</v>
      </c>
      <c r="F315">
        <v>8</v>
      </c>
      <c r="G315">
        <v>50.53</v>
      </c>
      <c r="H315" s="1" t="s">
        <v>46</v>
      </c>
      <c r="I315" s="1" t="s">
        <v>72</v>
      </c>
      <c r="J315" s="2">
        <v>45572</v>
      </c>
      <c r="K315" s="1" t="s">
        <v>26</v>
      </c>
      <c r="L315" s="1">
        <f>IF(Subscriptions[[#This Row],[churned]]="Yes",1,0)</f>
        <v>0</v>
      </c>
      <c r="M315" s="2"/>
      <c r="N315" s="1" t="s">
        <v>30</v>
      </c>
      <c r="O315">
        <v>3</v>
      </c>
      <c r="P315">
        <v>2</v>
      </c>
      <c r="Q315">
        <v>22</v>
      </c>
      <c r="R315" s="1" t="s">
        <v>26</v>
      </c>
    </row>
    <row r="316" spans="1:18" x14ac:dyDescent="0.35">
      <c r="A316" s="1" t="s">
        <v>372</v>
      </c>
      <c r="B316" s="1" t="s">
        <v>32</v>
      </c>
      <c r="C316" s="1" t="s">
        <v>19</v>
      </c>
      <c r="D316" s="1" t="s">
        <v>65</v>
      </c>
      <c r="E316" s="1" t="s">
        <v>39</v>
      </c>
      <c r="F316">
        <v>13</v>
      </c>
      <c r="G316">
        <v>81.2</v>
      </c>
      <c r="H316" s="1" t="s">
        <v>63</v>
      </c>
      <c r="I316" s="1" t="s">
        <v>40</v>
      </c>
      <c r="J316" s="2">
        <v>45739</v>
      </c>
      <c r="K316" s="1" t="s">
        <v>24</v>
      </c>
      <c r="L316" s="1">
        <f>IF(Subscriptions[[#This Row],[churned]]="Yes",1,0)</f>
        <v>1</v>
      </c>
      <c r="M316" s="2">
        <v>45920</v>
      </c>
      <c r="N316" s="1" t="s">
        <v>59</v>
      </c>
      <c r="O316">
        <v>12</v>
      </c>
      <c r="P316">
        <v>3</v>
      </c>
      <c r="Q316">
        <v>29</v>
      </c>
      <c r="R316" s="1" t="s">
        <v>26</v>
      </c>
    </row>
    <row r="317" spans="1:18" x14ac:dyDescent="0.35">
      <c r="A317" s="1" t="s">
        <v>373</v>
      </c>
      <c r="B317" s="1" t="s">
        <v>18</v>
      </c>
      <c r="C317" s="1" t="s">
        <v>28</v>
      </c>
      <c r="D317" s="1" t="s">
        <v>33</v>
      </c>
      <c r="E317" s="1" t="s">
        <v>39</v>
      </c>
      <c r="F317">
        <v>33</v>
      </c>
      <c r="G317">
        <v>389.47</v>
      </c>
      <c r="H317" s="1" t="s">
        <v>35</v>
      </c>
      <c r="I317" s="1" t="s">
        <v>72</v>
      </c>
      <c r="J317" s="2">
        <v>44835</v>
      </c>
      <c r="K317" s="1" t="s">
        <v>24</v>
      </c>
      <c r="L317" s="1">
        <f>IF(Subscriptions[[#This Row],[churned]]="Yes",1,0)</f>
        <v>1</v>
      </c>
      <c r="M317" s="2">
        <v>45906</v>
      </c>
      <c r="N317" s="1" t="s">
        <v>49</v>
      </c>
      <c r="O317">
        <v>11</v>
      </c>
      <c r="P317">
        <v>6</v>
      </c>
      <c r="Q317">
        <v>37</v>
      </c>
      <c r="R317" s="1" t="s">
        <v>26</v>
      </c>
    </row>
    <row r="318" spans="1:18" x14ac:dyDescent="0.35">
      <c r="A318" s="1" t="s">
        <v>374</v>
      </c>
      <c r="B318" s="1" t="s">
        <v>32</v>
      </c>
      <c r="C318" s="1" t="s">
        <v>19</v>
      </c>
      <c r="D318" s="1" t="s">
        <v>33</v>
      </c>
      <c r="E318" s="1" t="s">
        <v>39</v>
      </c>
      <c r="F318">
        <v>31</v>
      </c>
      <c r="G318">
        <v>159.5</v>
      </c>
      <c r="H318" s="1" t="s">
        <v>35</v>
      </c>
      <c r="I318" s="1" t="s">
        <v>23</v>
      </c>
      <c r="J318" s="2">
        <v>45635</v>
      </c>
      <c r="K318" s="1" t="s">
        <v>24</v>
      </c>
      <c r="L318" s="1">
        <f>IF(Subscriptions[[#This Row],[churned]]="Yes",1,0)</f>
        <v>1</v>
      </c>
      <c r="M318" s="2">
        <v>45758</v>
      </c>
      <c r="N318" s="1" t="s">
        <v>25</v>
      </c>
      <c r="O318">
        <v>6</v>
      </c>
      <c r="P318">
        <v>3</v>
      </c>
      <c r="Q318">
        <v>26</v>
      </c>
      <c r="R318" s="1" t="s">
        <v>26</v>
      </c>
    </row>
    <row r="319" spans="1:18" x14ac:dyDescent="0.35">
      <c r="A319" s="1" t="s">
        <v>375</v>
      </c>
      <c r="B319" s="1" t="s">
        <v>32</v>
      </c>
      <c r="C319" s="1" t="s">
        <v>19</v>
      </c>
      <c r="D319" s="1" t="s">
        <v>20</v>
      </c>
      <c r="E319" s="1" t="s">
        <v>45</v>
      </c>
      <c r="F319">
        <v>1</v>
      </c>
      <c r="G319">
        <v>29</v>
      </c>
      <c r="H319" s="1" t="s">
        <v>101</v>
      </c>
      <c r="I319" s="1" t="s">
        <v>72</v>
      </c>
      <c r="J319" s="2">
        <v>45694</v>
      </c>
      <c r="K319" s="1" t="s">
        <v>24</v>
      </c>
      <c r="L319" s="1">
        <f>IF(Subscriptions[[#This Row],[churned]]="Yes",1,0)</f>
        <v>1</v>
      </c>
      <c r="M319" s="2">
        <v>45956</v>
      </c>
      <c r="N319" s="1" t="s">
        <v>59</v>
      </c>
      <c r="O319">
        <v>12</v>
      </c>
      <c r="P319">
        <v>3</v>
      </c>
      <c r="Q319">
        <v>30</v>
      </c>
      <c r="R319" s="1" t="s">
        <v>26</v>
      </c>
    </row>
    <row r="320" spans="1:18" x14ac:dyDescent="0.35">
      <c r="A320" s="1" t="s">
        <v>376</v>
      </c>
      <c r="B320" s="1" t="s">
        <v>32</v>
      </c>
      <c r="C320" s="1" t="s">
        <v>28</v>
      </c>
      <c r="D320" s="1" t="s">
        <v>71</v>
      </c>
      <c r="E320" s="1" t="s">
        <v>21</v>
      </c>
      <c r="F320">
        <v>40</v>
      </c>
      <c r="G320">
        <v>168.85</v>
      </c>
      <c r="H320" s="1" t="s">
        <v>22</v>
      </c>
      <c r="I320" s="1" t="s">
        <v>40</v>
      </c>
      <c r="J320" s="2">
        <v>44758</v>
      </c>
      <c r="K320" s="1" t="s">
        <v>24</v>
      </c>
      <c r="L320" s="1">
        <f>IF(Subscriptions[[#This Row],[churned]]="Yes",1,0)</f>
        <v>1</v>
      </c>
      <c r="M320" s="2">
        <v>44847</v>
      </c>
      <c r="N320" s="1" t="s">
        <v>53</v>
      </c>
      <c r="O320">
        <v>14</v>
      </c>
      <c r="P320">
        <v>4</v>
      </c>
      <c r="Q320">
        <v>38</v>
      </c>
      <c r="R320" s="1" t="s">
        <v>26</v>
      </c>
    </row>
    <row r="321" spans="1:18" x14ac:dyDescent="0.35">
      <c r="A321" s="1" t="s">
        <v>377</v>
      </c>
      <c r="B321" s="1" t="s">
        <v>18</v>
      </c>
      <c r="C321" s="1" t="s">
        <v>28</v>
      </c>
      <c r="D321" s="1" t="s">
        <v>71</v>
      </c>
      <c r="E321" s="1" t="s">
        <v>21</v>
      </c>
      <c r="F321">
        <v>20</v>
      </c>
      <c r="G321">
        <v>258.52999999999997</v>
      </c>
      <c r="H321" s="1" t="s">
        <v>22</v>
      </c>
      <c r="I321" s="1" t="s">
        <v>40</v>
      </c>
      <c r="J321" s="2">
        <v>45279</v>
      </c>
      <c r="K321" s="1" t="s">
        <v>26</v>
      </c>
      <c r="L321" s="1">
        <f>IF(Subscriptions[[#This Row],[churned]]="Yes",1,0)</f>
        <v>0</v>
      </c>
      <c r="M321" s="2"/>
      <c r="N321" s="1" t="s">
        <v>30</v>
      </c>
      <c r="O321">
        <v>10</v>
      </c>
      <c r="P321">
        <v>9</v>
      </c>
      <c r="Q321">
        <v>34</v>
      </c>
      <c r="R321" s="1" t="s">
        <v>26</v>
      </c>
    </row>
    <row r="322" spans="1:18" x14ac:dyDescent="0.35">
      <c r="A322" s="1" t="s">
        <v>378</v>
      </c>
      <c r="B322" s="1" t="s">
        <v>18</v>
      </c>
      <c r="C322" s="1" t="s">
        <v>19</v>
      </c>
      <c r="D322" s="1" t="s">
        <v>65</v>
      </c>
      <c r="E322" s="1" t="s">
        <v>45</v>
      </c>
      <c r="F322">
        <v>2</v>
      </c>
      <c r="G322">
        <v>90.85</v>
      </c>
      <c r="H322" s="1" t="s">
        <v>22</v>
      </c>
      <c r="I322" s="1" t="s">
        <v>23</v>
      </c>
      <c r="J322" s="2">
        <v>45727</v>
      </c>
      <c r="K322" s="1" t="s">
        <v>24</v>
      </c>
      <c r="L322" s="1">
        <f>IF(Subscriptions[[#This Row],[churned]]="Yes",1,0)</f>
        <v>1</v>
      </c>
      <c r="M322" s="2">
        <v>45777</v>
      </c>
      <c r="N322" s="1" t="s">
        <v>59</v>
      </c>
      <c r="O322">
        <v>8</v>
      </c>
      <c r="P322">
        <v>3</v>
      </c>
      <c r="Q322">
        <v>15</v>
      </c>
      <c r="R322" s="1" t="s">
        <v>26</v>
      </c>
    </row>
    <row r="323" spans="1:18" x14ac:dyDescent="0.35">
      <c r="A323" s="1" t="s">
        <v>379</v>
      </c>
      <c r="B323" s="1" t="s">
        <v>18</v>
      </c>
      <c r="C323" s="1" t="s">
        <v>28</v>
      </c>
      <c r="D323" s="1" t="s">
        <v>82</v>
      </c>
      <c r="E323" s="1" t="s">
        <v>21</v>
      </c>
      <c r="F323">
        <v>34</v>
      </c>
      <c r="G323">
        <v>399.54</v>
      </c>
      <c r="H323" s="1" t="s">
        <v>101</v>
      </c>
      <c r="I323" s="1" t="s">
        <v>23</v>
      </c>
      <c r="J323" s="2">
        <v>45579</v>
      </c>
      <c r="K323" s="1" t="s">
        <v>24</v>
      </c>
      <c r="L323" s="1">
        <f>IF(Subscriptions[[#This Row],[churned]]="Yes",1,0)</f>
        <v>1</v>
      </c>
      <c r="M323" s="2">
        <v>45637</v>
      </c>
      <c r="N323" s="1" t="s">
        <v>85</v>
      </c>
      <c r="O323">
        <v>11</v>
      </c>
      <c r="P323">
        <v>6</v>
      </c>
      <c r="Q323">
        <v>12</v>
      </c>
      <c r="R323" s="1" t="s">
        <v>26</v>
      </c>
    </row>
    <row r="324" spans="1:18" x14ac:dyDescent="0.35">
      <c r="A324" s="1" t="s">
        <v>380</v>
      </c>
      <c r="B324" s="1" t="s">
        <v>37</v>
      </c>
      <c r="C324" s="1" t="s">
        <v>19</v>
      </c>
      <c r="D324" s="1" t="s">
        <v>52</v>
      </c>
      <c r="E324" s="1" t="s">
        <v>45</v>
      </c>
      <c r="F324">
        <v>7</v>
      </c>
      <c r="G324">
        <v>378.1</v>
      </c>
      <c r="H324" s="1" t="s">
        <v>35</v>
      </c>
      <c r="I324" s="1" t="s">
        <v>58</v>
      </c>
      <c r="J324" s="2">
        <v>45217</v>
      </c>
      <c r="K324" s="1" t="s">
        <v>26</v>
      </c>
      <c r="L324" s="1">
        <f>IF(Subscriptions[[#This Row],[churned]]="Yes",1,0)</f>
        <v>0</v>
      </c>
      <c r="M324" s="2"/>
      <c r="N324" s="1" t="s">
        <v>30</v>
      </c>
      <c r="O324">
        <v>5</v>
      </c>
      <c r="P324">
        <v>9</v>
      </c>
      <c r="Q324">
        <v>55</v>
      </c>
      <c r="R324" s="1" t="s">
        <v>26</v>
      </c>
    </row>
    <row r="325" spans="1:18" x14ac:dyDescent="0.35">
      <c r="A325" s="1" t="s">
        <v>381</v>
      </c>
      <c r="B325" s="1" t="s">
        <v>32</v>
      </c>
      <c r="C325" s="1" t="s">
        <v>28</v>
      </c>
      <c r="D325" s="1" t="s">
        <v>82</v>
      </c>
      <c r="E325" s="1" t="s">
        <v>21</v>
      </c>
      <c r="F325">
        <v>24</v>
      </c>
      <c r="G325">
        <v>109.69</v>
      </c>
      <c r="H325" s="1" t="s">
        <v>22</v>
      </c>
      <c r="I325" s="1" t="s">
        <v>23</v>
      </c>
      <c r="J325" s="2">
        <v>45973</v>
      </c>
      <c r="K325" s="1" t="s">
        <v>26</v>
      </c>
      <c r="L325" s="1">
        <f>IF(Subscriptions[[#This Row],[churned]]="Yes",1,0)</f>
        <v>0</v>
      </c>
      <c r="M325" s="2"/>
      <c r="N325" s="1" t="s">
        <v>30</v>
      </c>
      <c r="O325">
        <v>7</v>
      </c>
      <c r="P325">
        <v>2</v>
      </c>
      <c r="Q325">
        <v>90</v>
      </c>
      <c r="R325" s="1" t="s">
        <v>26</v>
      </c>
    </row>
    <row r="326" spans="1:18" x14ac:dyDescent="0.35">
      <c r="A326" s="1" t="s">
        <v>382</v>
      </c>
      <c r="B326" s="1" t="s">
        <v>18</v>
      </c>
      <c r="C326" s="1" t="s">
        <v>28</v>
      </c>
      <c r="D326" s="1" t="s">
        <v>44</v>
      </c>
      <c r="E326" s="1" t="s">
        <v>48</v>
      </c>
      <c r="F326">
        <v>105</v>
      </c>
      <c r="G326">
        <v>1114.69</v>
      </c>
      <c r="H326" s="1" t="s">
        <v>63</v>
      </c>
      <c r="I326" s="1" t="s">
        <v>40</v>
      </c>
      <c r="J326" s="2">
        <v>44648</v>
      </c>
      <c r="K326" s="1" t="s">
        <v>24</v>
      </c>
      <c r="L326" s="1">
        <f>IF(Subscriptions[[#This Row],[churned]]="Yes",1,0)</f>
        <v>1</v>
      </c>
      <c r="M326" s="2">
        <v>45194</v>
      </c>
      <c r="N326" s="1" t="s">
        <v>56</v>
      </c>
      <c r="O326">
        <v>2</v>
      </c>
      <c r="P326">
        <v>1</v>
      </c>
      <c r="Q326">
        <v>15</v>
      </c>
      <c r="R326" s="1" t="s">
        <v>26</v>
      </c>
    </row>
    <row r="327" spans="1:18" x14ac:dyDescent="0.35">
      <c r="A327" s="1" t="s">
        <v>383</v>
      </c>
      <c r="B327" s="1" t="s">
        <v>37</v>
      </c>
      <c r="C327" s="1" t="s">
        <v>28</v>
      </c>
      <c r="D327" s="1" t="s">
        <v>65</v>
      </c>
      <c r="E327" s="1" t="s">
        <v>39</v>
      </c>
      <c r="F327">
        <v>10</v>
      </c>
      <c r="G327">
        <v>397.5</v>
      </c>
      <c r="H327" s="1" t="s">
        <v>35</v>
      </c>
      <c r="I327" s="1" t="s">
        <v>23</v>
      </c>
      <c r="J327" s="2">
        <v>45676</v>
      </c>
      <c r="K327" s="1" t="s">
        <v>26</v>
      </c>
      <c r="L327" s="1">
        <f>IF(Subscriptions[[#This Row],[churned]]="Yes",1,0)</f>
        <v>0</v>
      </c>
      <c r="M327" s="2"/>
      <c r="N327" s="1" t="s">
        <v>30</v>
      </c>
      <c r="O327">
        <v>6</v>
      </c>
      <c r="P327">
        <v>9</v>
      </c>
      <c r="Q327">
        <v>77</v>
      </c>
      <c r="R327" s="1" t="s">
        <v>24</v>
      </c>
    </row>
    <row r="328" spans="1:18" x14ac:dyDescent="0.35">
      <c r="A328" s="1" t="s">
        <v>384</v>
      </c>
      <c r="B328" s="1" t="s">
        <v>18</v>
      </c>
      <c r="C328" s="1" t="s">
        <v>19</v>
      </c>
      <c r="D328" s="1" t="s">
        <v>82</v>
      </c>
      <c r="E328" s="1" t="s">
        <v>39</v>
      </c>
      <c r="F328">
        <v>15</v>
      </c>
      <c r="G328">
        <v>244.9</v>
      </c>
      <c r="H328" s="1" t="s">
        <v>35</v>
      </c>
      <c r="I328" s="1" t="s">
        <v>58</v>
      </c>
      <c r="J328" s="2">
        <v>44685</v>
      </c>
      <c r="K328" s="1" t="s">
        <v>24</v>
      </c>
      <c r="L328" s="1">
        <f>IF(Subscriptions[[#This Row],[churned]]="Yes",1,0)</f>
        <v>1</v>
      </c>
      <c r="M328" s="2">
        <v>44737</v>
      </c>
      <c r="N328" s="1" t="s">
        <v>59</v>
      </c>
      <c r="O328">
        <v>14</v>
      </c>
      <c r="P328">
        <v>1</v>
      </c>
      <c r="Q328">
        <v>15</v>
      </c>
      <c r="R328" s="1" t="s">
        <v>26</v>
      </c>
    </row>
    <row r="329" spans="1:18" x14ac:dyDescent="0.35">
      <c r="A329" s="1" t="s">
        <v>385</v>
      </c>
      <c r="B329" s="1" t="s">
        <v>18</v>
      </c>
      <c r="C329" s="1" t="s">
        <v>19</v>
      </c>
      <c r="D329" s="1" t="s">
        <v>44</v>
      </c>
      <c r="E329" s="1" t="s">
        <v>39</v>
      </c>
      <c r="F329">
        <v>13</v>
      </c>
      <c r="G329">
        <v>221.2</v>
      </c>
      <c r="H329" s="1" t="s">
        <v>63</v>
      </c>
      <c r="I329" s="1" t="s">
        <v>40</v>
      </c>
      <c r="J329" s="2">
        <v>45534</v>
      </c>
      <c r="K329" s="1" t="s">
        <v>26</v>
      </c>
      <c r="L329" s="1">
        <f>IF(Subscriptions[[#This Row],[churned]]="Yes",1,0)</f>
        <v>0</v>
      </c>
      <c r="M329" s="2"/>
      <c r="N329" s="1" t="s">
        <v>30</v>
      </c>
      <c r="O329">
        <v>2</v>
      </c>
      <c r="P329">
        <v>4</v>
      </c>
      <c r="Q329">
        <v>71</v>
      </c>
      <c r="R329" s="1" t="s">
        <v>26</v>
      </c>
    </row>
    <row r="330" spans="1:18" x14ac:dyDescent="0.35">
      <c r="A330" s="1" t="s">
        <v>386</v>
      </c>
      <c r="B330" s="1" t="s">
        <v>32</v>
      </c>
      <c r="C330" s="1" t="s">
        <v>19</v>
      </c>
      <c r="D330" s="1" t="s">
        <v>71</v>
      </c>
      <c r="E330" s="1" t="s">
        <v>34</v>
      </c>
      <c r="F330">
        <v>297</v>
      </c>
      <c r="G330">
        <v>1316.6</v>
      </c>
      <c r="H330" s="1" t="s">
        <v>35</v>
      </c>
      <c r="I330" s="1" t="s">
        <v>72</v>
      </c>
      <c r="J330" s="2">
        <v>46002</v>
      </c>
      <c r="K330" s="1" t="s">
        <v>26</v>
      </c>
      <c r="L330" s="1">
        <f>IF(Subscriptions[[#This Row],[churned]]="Yes",1,0)</f>
        <v>0</v>
      </c>
      <c r="M330" s="2"/>
      <c r="N330" s="1" t="s">
        <v>30</v>
      </c>
      <c r="O330">
        <v>7</v>
      </c>
      <c r="P330">
        <v>4</v>
      </c>
      <c r="Q330">
        <v>44</v>
      </c>
      <c r="R330" s="1" t="s">
        <v>26</v>
      </c>
    </row>
    <row r="331" spans="1:18" x14ac:dyDescent="0.35">
      <c r="A331" s="1" t="s">
        <v>387</v>
      </c>
      <c r="B331" s="1" t="s">
        <v>18</v>
      </c>
      <c r="C331" s="1" t="s">
        <v>19</v>
      </c>
      <c r="D331" s="1" t="s">
        <v>20</v>
      </c>
      <c r="E331" s="1" t="s">
        <v>21</v>
      </c>
      <c r="F331">
        <v>51</v>
      </c>
      <c r="G331">
        <v>671.5</v>
      </c>
      <c r="H331" s="1" t="s">
        <v>29</v>
      </c>
      <c r="I331" s="1" t="s">
        <v>58</v>
      </c>
      <c r="J331" s="2">
        <v>45368</v>
      </c>
      <c r="K331" s="1" t="s">
        <v>26</v>
      </c>
      <c r="L331" s="1">
        <f>IF(Subscriptions[[#This Row],[churned]]="Yes",1,0)</f>
        <v>0</v>
      </c>
      <c r="M331" s="2"/>
      <c r="N331" s="1" t="s">
        <v>30</v>
      </c>
      <c r="O331">
        <v>7</v>
      </c>
      <c r="P331">
        <v>4</v>
      </c>
      <c r="Q331">
        <v>84</v>
      </c>
      <c r="R331" s="1" t="s">
        <v>26</v>
      </c>
    </row>
    <row r="332" spans="1:18" x14ac:dyDescent="0.35">
      <c r="A332" s="1" t="s">
        <v>388</v>
      </c>
      <c r="B332" s="1" t="s">
        <v>18</v>
      </c>
      <c r="C332" s="1" t="s">
        <v>19</v>
      </c>
      <c r="D332" s="1" t="s">
        <v>65</v>
      </c>
      <c r="E332" s="1" t="s">
        <v>21</v>
      </c>
      <c r="F332">
        <v>30</v>
      </c>
      <c r="G332">
        <v>422.65</v>
      </c>
      <c r="H332" s="1" t="s">
        <v>101</v>
      </c>
      <c r="I332" s="1" t="s">
        <v>23</v>
      </c>
      <c r="J332" s="2">
        <v>45821</v>
      </c>
      <c r="K332" s="1" t="s">
        <v>26</v>
      </c>
      <c r="L332" s="1">
        <f>IF(Subscriptions[[#This Row],[churned]]="Yes",1,0)</f>
        <v>0</v>
      </c>
      <c r="M332" s="2"/>
      <c r="N332" s="1" t="s">
        <v>30</v>
      </c>
      <c r="O332">
        <v>11</v>
      </c>
      <c r="P332">
        <v>5</v>
      </c>
      <c r="Q332">
        <v>60</v>
      </c>
      <c r="R332" s="1" t="s">
        <v>26</v>
      </c>
    </row>
    <row r="333" spans="1:18" x14ac:dyDescent="0.35">
      <c r="A333" s="1" t="s">
        <v>389</v>
      </c>
      <c r="B333" s="1" t="s">
        <v>18</v>
      </c>
      <c r="C333" s="1" t="s">
        <v>19</v>
      </c>
      <c r="D333" s="1" t="s">
        <v>33</v>
      </c>
      <c r="E333" s="1" t="s">
        <v>21</v>
      </c>
      <c r="F333">
        <v>77</v>
      </c>
      <c r="G333">
        <v>979.6</v>
      </c>
      <c r="H333" s="1" t="s">
        <v>63</v>
      </c>
      <c r="I333" s="1" t="s">
        <v>23</v>
      </c>
      <c r="J333" s="2">
        <v>45724</v>
      </c>
      <c r="K333" s="1" t="s">
        <v>24</v>
      </c>
      <c r="L333" s="1">
        <f>IF(Subscriptions[[#This Row],[churned]]="Yes",1,0)</f>
        <v>1</v>
      </c>
      <c r="M333" s="2">
        <v>45818</v>
      </c>
      <c r="N333" s="1" t="s">
        <v>56</v>
      </c>
      <c r="O333">
        <v>3</v>
      </c>
      <c r="P333">
        <v>2</v>
      </c>
      <c r="Q333">
        <v>40</v>
      </c>
      <c r="R333" s="1" t="s">
        <v>26</v>
      </c>
    </row>
    <row r="334" spans="1:18" x14ac:dyDescent="0.35">
      <c r="A334" s="1" t="s">
        <v>390</v>
      </c>
      <c r="B334" s="1" t="s">
        <v>18</v>
      </c>
      <c r="C334" s="1" t="s">
        <v>28</v>
      </c>
      <c r="D334" s="1" t="s">
        <v>65</v>
      </c>
      <c r="E334" s="1" t="s">
        <v>21</v>
      </c>
      <c r="F334">
        <v>18</v>
      </c>
      <c r="G334">
        <v>238.38</v>
      </c>
      <c r="H334" s="1" t="s">
        <v>35</v>
      </c>
      <c r="I334" s="1" t="s">
        <v>58</v>
      </c>
      <c r="J334" s="2">
        <v>45387</v>
      </c>
      <c r="K334" s="1" t="s">
        <v>24</v>
      </c>
      <c r="L334" s="1">
        <f>IF(Subscriptions[[#This Row],[churned]]="Yes",1,0)</f>
        <v>1</v>
      </c>
      <c r="M334" s="2">
        <v>45936</v>
      </c>
      <c r="N334" s="1" t="s">
        <v>85</v>
      </c>
      <c r="O334">
        <v>14</v>
      </c>
      <c r="P334">
        <v>1</v>
      </c>
      <c r="Q334">
        <v>33</v>
      </c>
      <c r="R334" s="1" t="s">
        <v>26</v>
      </c>
    </row>
    <row r="335" spans="1:18" x14ac:dyDescent="0.35">
      <c r="A335" s="1" t="s">
        <v>391</v>
      </c>
      <c r="B335" s="1" t="s">
        <v>32</v>
      </c>
      <c r="C335" s="1" t="s">
        <v>28</v>
      </c>
      <c r="D335" s="1" t="s">
        <v>33</v>
      </c>
      <c r="E335" s="1" t="s">
        <v>48</v>
      </c>
      <c r="F335">
        <v>85</v>
      </c>
      <c r="G335">
        <v>335.24</v>
      </c>
      <c r="H335" s="1" t="s">
        <v>22</v>
      </c>
      <c r="I335" s="1" t="s">
        <v>40</v>
      </c>
      <c r="J335" s="2">
        <v>45212</v>
      </c>
      <c r="K335" s="1" t="s">
        <v>24</v>
      </c>
      <c r="L335" s="1">
        <f>IF(Subscriptions[[#This Row],[churned]]="Yes",1,0)</f>
        <v>1</v>
      </c>
      <c r="M335" s="2">
        <v>45313</v>
      </c>
      <c r="N335" s="1" t="s">
        <v>56</v>
      </c>
      <c r="O335">
        <v>8</v>
      </c>
      <c r="P335">
        <v>1</v>
      </c>
      <c r="Q335">
        <v>35</v>
      </c>
      <c r="R335" s="1" t="s">
        <v>26</v>
      </c>
    </row>
    <row r="336" spans="1:18" x14ac:dyDescent="0.35">
      <c r="A336" s="1" t="s">
        <v>392</v>
      </c>
      <c r="B336" s="1" t="s">
        <v>18</v>
      </c>
      <c r="C336" s="1" t="s">
        <v>19</v>
      </c>
      <c r="D336" s="1" t="s">
        <v>82</v>
      </c>
      <c r="E336" s="1" t="s">
        <v>39</v>
      </c>
      <c r="F336">
        <v>18</v>
      </c>
      <c r="G336">
        <v>280.45</v>
      </c>
      <c r="H336" s="1" t="s">
        <v>101</v>
      </c>
      <c r="I336" s="1" t="s">
        <v>23</v>
      </c>
      <c r="J336" s="2">
        <v>44811</v>
      </c>
      <c r="K336" s="1" t="s">
        <v>24</v>
      </c>
      <c r="L336" s="1">
        <f>IF(Subscriptions[[#This Row],[churned]]="Yes",1,0)</f>
        <v>1</v>
      </c>
      <c r="M336" s="2">
        <v>45364</v>
      </c>
      <c r="N336" s="1" t="s">
        <v>66</v>
      </c>
      <c r="O336">
        <v>10</v>
      </c>
      <c r="P336">
        <v>1</v>
      </c>
      <c r="Q336">
        <v>27</v>
      </c>
      <c r="R336" s="1" t="s">
        <v>26</v>
      </c>
    </row>
    <row r="337" spans="1:18" x14ac:dyDescent="0.35">
      <c r="A337" s="1" t="s">
        <v>393</v>
      </c>
      <c r="B337" s="1" t="s">
        <v>37</v>
      </c>
      <c r="C337" s="1" t="s">
        <v>28</v>
      </c>
      <c r="D337" s="1" t="s">
        <v>65</v>
      </c>
      <c r="E337" s="1" t="s">
        <v>45</v>
      </c>
      <c r="F337">
        <v>5</v>
      </c>
      <c r="G337">
        <v>270.64</v>
      </c>
      <c r="H337" s="1" t="s">
        <v>22</v>
      </c>
      <c r="I337" s="1" t="s">
        <v>40</v>
      </c>
      <c r="J337" s="2">
        <v>45121</v>
      </c>
      <c r="K337" s="1" t="s">
        <v>24</v>
      </c>
      <c r="L337" s="1">
        <f>IF(Subscriptions[[#This Row],[churned]]="Yes",1,0)</f>
        <v>1</v>
      </c>
      <c r="M337" s="2">
        <v>45703</v>
      </c>
      <c r="N337" s="1" t="s">
        <v>59</v>
      </c>
      <c r="O337">
        <v>7</v>
      </c>
      <c r="P337">
        <v>1</v>
      </c>
      <c r="Q337">
        <v>36</v>
      </c>
      <c r="R337" s="1" t="s">
        <v>26</v>
      </c>
    </row>
    <row r="338" spans="1:18" x14ac:dyDescent="0.35">
      <c r="A338" s="1" t="s">
        <v>394</v>
      </c>
      <c r="B338" s="1" t="s">
        <v>32</v>
      </c>
      <c r="C338" s="1" t="s">
        <v>19</v>
      </c>
      <c r="D338" s="1" t="s">
        <v>52</v>
      </c>
      <c r="E338" s="1" t="s">
        <v>21</v>
      </c>
      <c r="F338">
        <v>65</v>
      </c>
      <c r="G338">
        <v>307.39999999999998</v>
      </c>
      <c r="H338" s="1" t="s">
        <v>63</v>
      </c>
      <c r="I338" s="1" t="s">
        <v>72</v>
      </c>
      <c r="J338" s="2">
        <v>44887</v>
      </c>
      <c r="K338" s="1" t="s">
        <v>24</v>
      </c>
      <c r="L338" s="1">
        <f>IF(Subscriptions[[#This Row],[churned]]="Yes",1,0)</f>
        <v>1</v>
      </c>
      <c r="M338" s="2">
        <v>45004</v>
      </c>
      <c r="N338" s="1" t="s">
        <v>25</v>
      </c>
      <c r="O338">
        <v>3</v>
      </c>
      <c r="P338">
        <v>1</v>
      </c>
      <c r="Q338">
        <v>45</v>
      </c>
      <c r="R338" s="1" t="s">
        <v>26</v>
      </c>
    </row>
    <row r="339" spans="1:18" x14ac:dyDescent="0.35">
      <c r="A339" s="1" t="s">
        <v>395</v>
      </c>
      <c r="B339" s="1" t="s">
        <v>32</v>
      </c>
      <c r="C339" s="1" t="s">
        <v>28</v>
      </c>
      <c r="D339" s="1" t="s">
        <v>44</v>
      </c>
      <c r="E339" s="1" t="s">
        <v>39</v>
      </c>
      <c r="F339">
        <v>26</v>
      </c>
      <c r="G339">
        <v>117.09</v>
      </c>
      <c r="H339" s="1" t="s">
        <v>35</v>
      </c>
      <c r="I339" s="1" t="s">
        <v>23</v>
      </c>
      <c r="J339" s="2">
        <v>45320</v>
      </c>
      <c r="K339" s="1" t="s">
        <v>26</v>
      </c>
      <c r="L339" s="1">
        <f>IF(Subscriptions[[#This Row],[churned]]="Yes",1,0)</f>
        <v>0</v>
      </c>
      <c r="M339" s="2"/>
      <c r="N339" s="1" t="s">
        <v>30</v>
      </c>
      <c r="O339">
        <v>4</v>
      </c>
      <c r="P339">
        <v>8</v>
      </c>
      <c r="Q339">
        <v>42</v>
      </c>
      <c r="R339" s="1" t="s">
        <v>24</v>
      </c>
    </row>
    <row r="340" spans="1:18" x14ac:dyDescent="0.35">
      <c r="A340" s="1" t="s">
        <v>396</v>
      </c>
      <c r="B340" s="1" t="s">
        <v>32</v>
      </c>
      <c r="C340" s="1" t="s">
        <v>19</v>
      </c>
      <c r="D340" s="1" t="s">
        <v>52</v>
      </c>
      <c r="E340" s="1" t="s">
        <v>45</v>
      </c>
      <c r="F340">
        <v>4</v>
      </c>
      <c r="G340">
        <v>42.05</v>
      </c>
      <c r="H340" s="1" t="s">
        <v>22</v>
      </c>
      <c r="I340" s="1" t="s">
        <v>23</v>
      </c>
      <c r="J340" s="2">
        <v>45440</v>
      </c>
      <c r="K340" s="1" t="s">
        <v>24</v>
      </c>
      <c r="L340" s="1">
        <f>IF(Subscriptions[[#This Row],[churned]]="Yes",1,0)</f>
        <v>1</v>
      </c>
      <c r="M340" s="2">
        <v>45677</v>
      </c>
      <c r="N340" s="1" t="s">
        <v>25</v>
      </c>
      <c r="O340">
        <v>0</v>
      </c>
      <c r="P340">
        <v>4</v>
      </c>
      <c r="Q340">
        <v>13</v>
      </c>
      <c r="R340" s="1" t="s">
        <v>26</v>
      </c>
    </row>
    <row r="341" spans="1:18" x14ac:dyDescent="0.35">
      <c r="A341" s="1" t="s">
        <v>397</v>
      </c>
      <c r="B341" s="1" t="s">
        <v>32</v>
      </c>
      <c r="C341" s="1" t="s">
        <v>28</v>
      </c>
      <c r="D341" s="1" t="s">
        <v>65</v>
      </c>
      <c r="E341" s="1" t="s">
        <v>48</v>
      </c>
      <c r="F341">
        <v>140</v>
      </c>
      <c r="G341">
        <v>538.6</v>
      </c>
      <c r="H341" s="1" t="s">
        <v>22</v>
      </c>
      <c r="I341" s="1" t="s">
        <v>40</v>
      </c>
      <c r="J341" s="2">
        <v>44742</v>
      </c>
      <c r="K341" s="1" t="s">
        <v>24</v>
      </c>
      <c r="L341" s="1">
        <f>IF(Subscriptions[[#This Row],[churned]]="Yes",1,0)</f>
        <v>1</v>
      </c>
      <c r="M341" s="2">
        <v>44835</v>
      </c>
      <c r="N341" s="1" t="s">
        <v>56</v>
      </c>
      <c r="O341">
        <v>14</v>
      </c>
      <c r="P341">
        <v>2</v>
      </c>
      <c r="Q341">
        <v>43</v>
      </c>
      <c r="R341" s="1" t="s">
        <v>26</v>
      </c>
    </row>
    <row r="342" spans="1:18" x14ac:dyDescent="0.35">
      <c r="A342" s="1" t="s">
        <v>398</v>
      </c>
      <c r="B342" s="1" t="s">
        <v>32</v>
      </c>
      <c r="C342" s="1" t="s">
        <v>19</v>
      </c>
      <c r="D342" s="1" t="s">
        <v>38</v>
      </c>
      <c r="E342" s="1" t="s">
        <v>48</v>
      </c>
      <c r="F342">
        <v>41</v>
      </c>
      <c r="G342">
        <v>203</v>
      </c>
      <c r="H342" s="1" t="s">
        <v>63</v>
      </c>
      <c r="I342" s="1" t="s">
        <v>23</v>
      </c>
      <c r="J342" s="2">
        <v>45735</v>
      </c>
      <c r="K342" s="1" t="s">
        <v>24</v>
      </c>
      <c r="L342" s="1">
        <f>IF(Subscriptions[[#This Row],[churned]]="Yes",1,0)</f>
        <v>1</v>
      </c>
      <c r="M342" s="2">
        <v>45832</v>
      </c>
      <c r="N342" s="1" t="s">
        <v>66</v>
      </c>
      <c r="O342">
        <v>12</v>
      </c>
      <c r="P342">
        <v>1</v>
      </c>
      <c r="Q342">
        <v>40</v>
      </c>
      <c r="R342" s="1" t="s">
        <v>26</v>
      </c>
    </row>
    <row r="343" spans="1:18" x14ac:dyDescent="0.35">
      <c r="A343" s="1" t="s">
        <v>399</v>
      </c>
      <c r="B343" s="1" t="s">
        <v>32</v>
      </c>
      <c r="C343" s="1" t="s">
        <v>28</v>
      </c>
      <c r="D343" s="1" t="s">
        <v>20</v>
      </c>
      <c r="E343" s="1" t="s">
        <v>48</v>
      </c>
      <c r="F343">
        <v>78</v>
      </c>
      <c r="G343">
        <v>309.36</v>
      </c>
      <c r="H343" s="1" t="s">
        <v>63</v>
      </c>
      <c r="I343" s="1" t="s">
        <v>40</v>
      </c>
      <c r="J343" s="2">
        <v>45519</v>
      </c>
      <c r="K343" s="1" t="s">
        <v>24</v>
      </c>
      <c r="L343" s="1">
        <f>IF(Subscriptions[[#This Row],[churned]]="Yes",1,0)</f>
        <v>1</v>
      </c>
      <c r="M343" s="2">
        <v>45884</v>
      </c>
      <c r="N343" s="1" t="s">
        <v>53</v>
      </c>
      <c r="O343">
        <v>3</v>
      </c>
      <c r="P343">
        <v>1</v>
      </c>
      <c r="Q343">
        <v>35</v>
      </c>
      <c r="R343" s="1" t="s">
        <v>26</v>
      </c>
    </row>
    <row r="344" spans="1:18" x14ac:dyDescent="0.35">
      <c r="A344" s="1" t="s">
        <v>400</v>
      </c>
      <c r="B344" s="1" t="s">
        <v>37</v>
      </c>
      <c r="C344" s="1" t="s">
        <v>28</v>
      </c>
      <c r="D344" s="1" t="s">
        <v>71</v>
      </c>
      <c r="E344" s="1" t="s">
        <v>39</v>
      </c>
      <c r="F344">
        <v>12</v>
      </c>
      <c r="G344">
        <v>448.25</v>
      </c>
      <c r="H344" s="1" t="s">
        <v>46</v>
      </c>
      <c r="I344" s="1" t="s">
        <v>72</v>
      </c>
      <c r="J344" s="2">
        <v>45069</v>
      </c>
      <c r="K344" s="1" t="s">
        <v>24</v>
      </c>
      <c r="L344" s="1">
        <f>IF(Subscriptions[[#This Row],[churned]]="Yes",1,0)</f>
        <v>1</v>
      </c>
      <c r="M344" s="2">
        <v>45765</v>
      </c>
      <c r="N344" s="1" t="s">
        <v>66</v>
      </c>
      <c r="O344">
        <v>12</v>
      </c>
      <c r="P344">
        <v>6</v>
      </c>
      <c r="Q344">
        <v>19</v>
      </c>
      <c r="R344" s="1" t="s">
        <v>26</v>
      </c>
    </row>
    <row r="345" spans="1:18" x14ac:dyDescent="0.35">
      <c r="A345" s="1" t="s">
        <v>401</v>
      </c>
      <c r="B345" s="1" t="s">
        <v>18</v>
      </c>
      <c r="C345" s="1" t="s">
        <v>19</v>
      </c>
      <c r="D345" s="1" t="s">
        <v>20</v>
      </c>
      <c r="E345" s="1" t="s">
        <v>39</v>
      </c>
      <c r="F345">
        <v>32</v>
      </c>
      <c r="G345">
        <v>446.35</v>
      </c>
      <c r="H345" s="1" t="s">
        <v>46</v>
      </c>
      <c r="I345" s="1" t="s">
        <v>58</v>
      </c>
      <c r="J345" s="2">
        <v>44703</v>
      </c>
      <c r="K345" s="1" t="s">
        <v>24</v>
      </c>
      <c r="L345" s="1">
        <f>IF(Subscriptions[[#This Row],[churned]]="Yes",1,0)</f>
        <v>1</v>
      </c>
      <c r="M345" s="2">
        <v>45092</v>
      </c>
      <c r="N345" s="1" t="s">
        <v>59</v>
      </c>
      <c r="O345">
        <v>3</v>
      </c>
      <c r="P345">
        <v>3</v>
      </c>
      <c r="Q345">
        <v>29</v>
      </c>
      <c r="R345" s="1" t="s">
        <v>26</v>
      </c>
    </row>
    <row r="346" spans="1:18" x14ac:dyDescent="0.35">
      <c r="A346" s="1" t="s">
        <v>402</v>
      </c>
      <c r="B346" s="1" t="s">
        <v>37</v>
      </c>
      <c r="C346" s="1" t="s">
        <v>28</v>
      </c>
      <c r="D346" s="1" t="s">
        <v>65</v>
      </c>
      <c r="E346" s="1" t="s">
        <v>45</v>
      </c>
      <c r="F346">
        <v>4</v>
      </c>
      <c r="G346">
        <v>245.27</v>
      </c>
      <c r="H346" s="1" t="s">
        <v>63</v>
      </c>
      <c r="I346" s="1" t="s">
        <v>40</v>
      </c>
      <c r="J346" s="2">
        <v>44830</v>
      </c>
      <c r="K346" s="1" t="s">
        <v>26</v>
      </c>
      <c r="L346" s="1">
        <f>IF(Subscriptions[[#This Row],[churned]]="Yes",1,0)</f>
        <v>0</v>
      </c>
      <c r="M346" s="2"/>
      <c r="N346" s="1" t="s">
        <v>30</v>
      </c>
      <c r="O346">
        <v>4</v>
      </c>
      <c r="P346">
        <v>2</v>
      </c>
      <c r="Q346">
        <v>93</v>
      </c>
      <c r="R346" s="1" t="s">
        <v>26</v>
      </c>
    </row>
    <row r="347" spans="1:18" x14ac:dyDescent="0.35">
      <c r="A347" s="1" t="s">
        <v>403</v>
      </c>
      <c r="B347" s="1" t="s">
        <v>37</v>
      </c>
      <c r="C347" s="1" t="s">
        <v>19</v>
      </c>
      <c r="D347" s="1" t="s">
        <v>65</v>
      </c>
      <c r="E347" s="1" t="s">
        <v>48</v>
      </c>
      <c r="F347">
        <v>126</v>
      </c>
      <c r="G347">
        <v>3930.25</v>
      </c>
      <c r="H347" s="1" t="s">
        <v>63</v>
      </c>
      <c r="I347" s="1" t="s">
        <v>23</v>
      </c>
      <c r="J347" s="2">
        <v>45979</v>
      </c>
      <c r="K347" s="1" t="s">
        <v>26</v>
      </c>
      <c r="L347" s="1">
        <f>IF(Subscriptions[[#This Row],[churned]]="Yes",1,0)</f>
        <v>0</v>
      </c>
      <c r="M347" s="2"/>
      <c r="N347" s="1" t="s">
        <v>30</v>
      </c>
      <c r="O347">
        <v>9</v>
      </c>
      <c r="P347">
        <v>8</v>
      </c>
      <c r="Q347">
        <v>20</v>
      </c>
      <c r="R347" s="1" t="s">
        <v>26</v>
      </c>
    </row>
    <row r="348" spans="1:18" x14ac:dyDescent="0.35">
      <c r="A348" s="1" t="s">
        <v>404</v>
      </c>
      <c r="B348" s="1" t="s">
        <v>18</v>
      </c>
      <c r="C348" s="1" t="s">
        <v>28</v>
      </c>
      <c r="D348" s="1" t="s">
        <v>52</v>
      </c>
      <c r="E348" s="1" t="s">
        <v>21</v>
      </c>
      <c r="F348">
        <v>17</v>
      </c>
      <c r="G348">
        <v>228.31</v>
      </c>
      <c r="H348" s="1" t="s">
        <v>22</v>
      </c>
      <c r="I348" s="1" t="s">
        <v>40</v>
      </c>
      <c r="J348" s="2">
        <v>45925</v>
      </c>
      <c r="K348" s="1" t="s">
        <v>26</v>
      </c>
      <c r="L348" s="1">
        <f>IF(Subscriptions[[#This Row],[churned]]="Yes",1,0)</f>
        <v>0</v>
      </c>
      <c r="M348" s="2"/>
      <c r="N348" s="1" t="s">
        <v>30</v>
      </c>
      <c r="O348">
        <v>5</v>
      </c>
      <c r="P348">
        <v>4</v>
      </c>
      <c r="Q348">
        <v>21</v>
      </c>
      <c r="R348" s="1" t="s">
        <v>26</v>
      </c>
    </row>
    <row r="349" spans="1:18" x14ac:dyDescent="0.35">
      <c r="A349" s="1" t="s">
        <v>405</v>
      </c>
      <c r="B349" s="1" t="s">
        <v>37</v>
      </c>
      <c r="C349" s="1" t="s">
        <v>19</v>
      </c>
      <c r="D349" s="1" t="s">
        <v>44</v>
      </c>
      <c r="E349" s="1" t="s">
        <v>21</v>
      </c>
      <c r="F349">
        <v>73</v>
      </c>
      <c r="G349">
        <v>2348.1999999999998</v>
      </c>
      <c r="H349" s="1" t="s">
        <v>22</v>
      </c>
      <c r="I349" s="1" t="s">
        <v>58</v>
      </c>
      <c r="J349" s="2">
        <v>45813</v>
      </c>
      <c r="K349" s="1" t="s">
        <v>26</v>
      </c>
      <c r="L349" s="1">
        <f>IF(Subscriptions[[#This Row],[churned]]="Yes",1,0)</f>
        <v>0</v>
      </c>
      <c r="M349" s="2"/>
      <c r="N349" s="1" t="s">
        <v>30</v>
      </c>
      <c r="O349">
        <v>9</v>
      </c>
      <c r="P349">
        <v>5</v>
      </c>
      <c r="Q349">
        <v>74</v>
      </c>
      <c r="R349" s="1" t="s">
        <v>26</v>
      </c>
    </row>
    <row r="350" spans="1:18" x14ac:dyDescent="0.35">
      <c r="A350" s="1" t="s">
        <v>406</v>
      </c>
      <c r="B350" s="1" t="s">
        <v>37</v>
      </c>
      <c r="C350" s="1" t="s">
        <v>28</v>
      </c>
      <c r="D350" s="1" t="s">
        <v>71</v>
      </c>
      <c r="E350" s="1" t="s">
        <v>39</v>
      </c>
      <c r="F350">
        <v>29</v>
      </c>
      <c r="G350">
        <v>879.58</v>
      </c>
      <c r="H350" s="1" t="s">
        <v>63</v>
      </c>
      <c r="I350" s="1" t="s">
        <v>23</v>
      </c>
      <c r="J350" s="2">
        <v>45457</v>
      </c>
      <c r="K350" s="1" t="s">
        <v>26</v>
      </c>
      <c r="L350" s="1">
        <f>IF(Subscriptions[[#This Row],[churned]]="Yes",1,0)</f>
        <v>0</v>
      </c>
      <c r="M350" s="2"/>
      <c r="N350" s="1" t="s">
        <v>30</v>
      </c>
      <c r="O350">
        <v>7</v>
      </c>
      <c r="P350">
        <v>10</v>
      </c>
      <c r="Q350">
        <v>33</v>
      </c>
      <c r="R350" s="1" t="s">
        <v>26</v>
      </c>
    </row>
    <row r="351" spans="1:18" x14ac:dyDescent="0.35">
      <c r="A351" s="1" t="s">
        <v>407</v>
      </c>
      <c r="B351" s="1" t="s">
        <v>18</v>
      </c>
      <c r="C351" s="1" t="s">
        <v>19</v>
      </c>
      <c r="D351" s="1" t="s">
        <v>52</v>
      </c>
      <c r="E351" s="1" t="s">
        <v>21</v>
      </c>
      <c r="F351">
        <v>59</v>
      </c>
      <c r="G351">
        <v>766.3</v>
      </c>
      <c r="H351" s="1" t="s">
        <v>101</v>
      </c>
      <c r="I351" s="1" t="s">
        <v>23</v>
      </c>
      <c r="J351" s="2">
        <v>44619</v>
      </c>
      <c r="K351" s="1" t="s">
        <v>24</v>
      </c>
      <c r="L351" s="1">
        <f>IF(Subscriptions[[#This Row],[churned]]="Yes",1,0)</f>
        <v>1</v>
      </c>
      <c r="M351" s="2">
        <v>44837</v>
      </c>
      <c r="N351" s="1" t="s">
        <v>53</v>
      </c>
      <c r="O351">
        <v>6</v>
      </c>
      <c r="P351">
        <v>2</v>
      </c>
      <c r="Q351">
        <v>21</v>
      </c>
      <c r="R351" s="1" t="s">
        <v>26</v>
      </c>
    </row>
    <row r="352" spans="1:18" x14ac:dyDescent="0.35">
      <c r="A352" s="1" t="s">
        <v>408</v>
      </c>
      <c r="B352" s="1" t="s">
        <v>32</v>
      </c>
      <c r="C352" s="1" t="s">
        <v>28</v>
      </c>
      <c r="D352" s="1" t="s">
        <v>20</v>
      </c>
      <c r="E352" s="1" t="s">
        <v>45</v>
      </c>
      <c r="F352">
        <v>4</v>
      </c>
      <c r="G352">
        <v>35.74</v>
      </c>
      <c r="H352" s="1" t="s">
        <v>63</v>
      </c>
      <c r="I352" s="1" t="s">
        <v>23</v>
      </c>
      <c r="J352" s="2">
        <v>45494</v>
      </c>
      <c r="K352" s="1" t="s">
        <v>24</v>
      </c>
      <c r="L352" s="1">
        <f>IF(Subscriptions[[#This Row],[churned]]="Yes",1,0)</f>
        <v>1</v>
      </c>
      <c r="M352" s="2">
        <v>45629</v>
      </c>
      <c r="N352" s="1" t="s">
        <v>85</v>
      </c>
      <c r="O352">
        <v>8</v>
      </c>
      <c r="P352">
        <v>6</v>
      </c>
      <c r="Q352">
        <v>47</v>
      </c>
      <c r="R352" s="1" t="s">
        <v>26</v>
      </c>
    </row>
    <row r="353" spans="1:18" x14ac:dyDescent="0.35">
      <c r="A353" s="1" t="s">
        <v>409</v>
      </c>
      <c r="B353" s="1" t="s">
        <v>32</v>
      </c>
      <c r="C353" s="1" t="s">
        <v>19</v>
      </c>
      <c r="D353" s="1" t="s">
        <v>65</v>
      </c>
      <c r="E353" s="1" t="s">
        <v>34</v>
      </c>
      <c r="F353">
        <v>130</v>
      </c>
      <c r="G353">
        <v>590.15</v>
      </c>
      <c r="H353" s="1" t="s">
        <v>35</v>
      </c>
      <c r="I353" s="1" t="s">
        <v>40</v>
      </c>
      <c r="J353" s="2">
        <v>45125</v>
      </c>
      <c r="K353" s="1" t="s">
        <v>24</v>
      </c>
      <c r="L353" s="1">
        <f>IF(Subscriptions[[#This Row],[churned]]="Yes",1,0)</f>
        <v>1</v>
      </c>
      <c r="M353" s="2">
        <v>45423</v>
      </c>
      <c r="N353" s="1" t="s">
        <v>56</v>
      </c>
      <c r="O353">
        <v>5</v>
      </c>
      <c r="P353">
        <v>4</v>
      </c>
      <c r="Q353">
        <v>23</v>
      </c>
      <c r="R353" s="1" t="s">
        <v>26</v>
      </c>
    </row>
    <row r="354" spans="1:18" x14ac:dyDescent="0.35">
      <c r="A354" s="1" t="s">
        <v>410</v>
      </c>
      <c r="B354" s="1" t="s">
        <v>37</v>
      </c>
      <c r="C354" s="1" t="s">
        <v>28</v>
      </c>
      <c r="D354" s="1" t="s">
        <v>55</v>
      </c>
      <c r="E354" s="1" t="s">
        <v>48</v>
      </c>
      <c r="F354">
        <v>61</v>
      </c>
      <c r="G354">
        <v>1691.5</v>
      </c>
      <c r="H354" s="1" t="s">
        <v>101</v>
      </c>
      <c r="I354" s="1" t="s">
        <v>40</v>
      </c>
      <c r="J354" s="2">
        <v>45749</v>
      </c>
      <c r="K354" s="1" t="s">
        <v>24</v>
      </c>
      <c r="L354" s="1">
        <f>IF(Subscriptions[[#This Row],[churned]]="Yes",1,0)</f>
        <v>1</v>
      </c>
      <c r="M354" s="2">
        <v>45793</v>
      </c>
      <c r="N354" s="1" t="s">
        <v>85</v>
      </c>
      <c r="O354">
        <v>15</v>
      </c>
      <c r="P354">
        <v>5</v>
      </c>
      <c r="Q354">
        <v>33</v>
      </c>
      <c r="R354" s="1" t="s">
        <v>26</v>
      </c>
    </row>
    <row r="355" spans="1:18" x14ac:dyDescent="0.35">
      <c r="A355" s="1" t="s">
        <v>411</v>
      </c>
      <c r="B355" s="1" t="s">
        <v>37</v>
      </c>
      <c r="C355" s="1" t="s">
        <v>28</v>
      </c>
      <c r="D355" s="1" t="s">
        <v>33</v>
      </c>
      <c r="E355" s="1" t="s">
        <v>45</v>
      </c>
      <c r="F355">
        <v>8</v>
      </c>
      <c r="G355">
        <v>346.76</v>
      </c>
      <c r="H355" s="1" t="s">
        <v>35</v>
      </c>
      <c r="I355" s="1" t="s">
        <v>23</v>
      </c>
      <c r="J355" s="2">
        <v>44737</v>
      </c>
      <c r="K355" s="1" t="s">
        <v>24</v>
      </c>
      <c r="L355" s="1">
        <f>IF(Subscriptions[[#This Row],[churned]]="Yes",1,0)</f>
        <v>1</v>
      </c>
      <c r="M355" s="2">
        <v>45655</v>
      </c>
      <c r="N355" s="1" t="s">
        <v>49</v>
      </c>
      <c r="O355">
        <v>10</v>
      </c>
      <c r="P355">
        <v>6</v>
      </c>
      <c r="Q355">
        <v>30</v>
      </c>
      <c r="R355" s="1" t="s">
        <v>26</v>
      </c>
    </row>
    <row r="356" spans="1:18" x14ac:dyDescent="0.35">
      <c r="A356" s="1" t="s">
        <v>412</v>
      </c>
      <c r="B356" s="1" t="s">
        <v>32</v>
      </c>
      <c r="C356" s="1" t="s">
        <v>28</v>
      </c>
      <c r="D356" s="1" t="s">
        <v>55</v>
      </c>
      <c r="E356" s="1" t="s">
        <v>21</v>
      </c>
      <c r="F356">
        <v>43</v>
      </c>
      <c r="G356">
        <v>179.94</v>
      </c>
      <c r="H356" s="1" t="s">
        <v>22</v>
      </c>
      <c r="I356" s="1" t="s">
        <v>23</v>
      </c>
      <c r="J356" s="2">
        <v>45592</v>
      </c>
      <c r="K356" s="1" t="s">
        <v>26</v>
      </c>
      <c r="L356" s="1">
        <f>IF(Subscriptions[[#This Row],[churned]]="Yes",1,0)</f>
        <v>0</v>
      </c>
      <c r="M356" s="2"/>
      <c r="N356" s="1" t="s">
        <v>30</v>
      </c>
      <c r="O356">
        <v>3</v>
      </c>
      <c r="P356">
        <v>3</v>
      </c>
      <c r="Q356">
        <v>63</v>
      </c>
      <c r="R356" s="1" t="s">
        <v>26</v>
      </c>
    </row>
    <row r="357" spans="1:18" x14ac:dyDescent="0.35">
      <c r="A357" s="1" t="s">
        <v>413</v>
      </c>
      <c r="B357" s="1" t="s">
        <v>32</v>
      </c>
      <c r="C357" s="1" t="s">
        <v>28</v>
      </c>
      <c r="D357" s="1" t="s">
        <v>52</v>
      </c>
      <c r="E357" s="1" t="s">
        <v>39</v>
      </c>
      <c r="F357">
        <v>6</v>
      </c>
      <c r="G357">
        <v>43.14</v>
      </c>
      <c r="H357" s="1" t="s">
        <v>22</v>
      </c>
      <c r="I357" s="1" t="s">
        <v>23</v>
      </c>
      <c r="J357" s="2">
        <v>44817</v>
      </c>
      <c r="K357" s="1" t="s">
        <v>24</v>
      </c>
      <c r="L357" s="1">
        <f>IF(Subscriptions[[#This Row],[churned]]="Yes",1,0)</f>
        <v>1</v>
      </c>
      <c r="M357" s="2">
        <v>44870</v>
      </c>
      <c r="N357" s="1" t="s">
        <v>49</v>
      </c>
      <c r="O357">
        <v>15</v>
      </c>
      <c r="P357">
        <v>3</v>
      </c>
      <c r="Q357">
        <v>46</v>
      </c>
      <c r="R357" s="1" t="s">
        <v>26</v>
      </c>
    </row>
    <row r="358" spans="1:18" x14ac:dyDescent="0.35">
      <c r="A358" s="1" t="s">
        <v>414</v>
      </c>
      <c r="B358" s="1" t="s">
        <v>32</v>
      </c>
      <c r="C358" s="1" t="s">
        <v>28</v>
      </c>
      <c r="D358" s="1" t="s">
        <v>55</v>
      </c>
      <c r="E358" s="1" t="s">
        <v>48</v>
      </c>
      <c r="F358">
        <v>92</v>
      </c>
      <c r="G358">
        <v>361.12</v>
      </c>
      <c r="H358" s="1" t="s">
        <v>22</v>
      </c>
      <c r="I358" s="1" t="s">
        <v>23</v>
      </c>
      <c r="J358" s="2">
        <v>44949</v>
      </c>
      <c r="K358" s="1" t="s">
        <v>24</v>
      </c>
      <c r="L358" s="1">
        <f>IF(Subscriptions[[#This Row],[churned]]="Yes",1,0)</f>
        <v>1</v>
      </c>
      <c r="M358" s="2">
        <v>45080</v>
      </c>
      <c r="N358" s="1" t="s">
        <v>85</v>
      </c>
      <c r="O358">
        <v>13</v>
      </c>
      <c r="P358">
        <v>1</v>
      </c>
      <c r="Q358">
        <v>38</v>
      </c>
      <c r="R358" s="1" t="s">
        <v>26</v>
      </c>
    </row>
    <row r="359" spans="1:18" x14ac:dyDescent="0.35">
      <c r="A359" s="1" t="s">
        <v>415</v>
      </c>
      <c r="B359" s="1" t="s">
        <v>32</v>
      </c>
      <c r="C359" s="1" t="s">
        <v>28</v>
      </c>
      <c r="D359" s="1" t="s">
        <v>82</v>
      </c>
      <c r="E359" s="1" t="s">
        <v>21</v>
      </c>
      <c r="F359">
        <v>30</v>
      </c>
      <c r="G359">
        <v>131.88</v>
      </c>
      <c r="H359" s="1" t="s">
        <v>46</v>
      </c>
      <c r="I359" s="1" t="s">
        <v>40</v>
      </c>
      <c r="J359" s="2">
        <v>45712</v>
      </c>
      <c r="K359" s="1" t="s">
        <v>26</v>
      </c>
      <c r="L359" s="1">
        <f>IF(Subscriptions[[#This Row],[churned]]="Yes",1,0)</f>
        <v>0</v>
      </c>
      <c r="M359" s="2"/>
      <c r="N359" s="1" t="s">
        <v>30</v>
      </c>
      <c r="O359">
        <v>1</v>
      </c>
      <c r="P359">
        <v>7</v>
      </c>
      <c r="Q359">
        <v>39</v>
      </c>
      <c r="R359" s="1" t="s">
        <v>26</v>
      </c>
    </row>
    <row r="360" spans="1:18" x14ac:dyDescent="0.35">
      <c r="A360" s="1" t="s">
        <v>416</v>
      </c>
      <c r="B360" s="1" t="s">
        <v>37</v>
      </c>
      <c r="C360" s="1" t="s">
        <v>19</v>
      </c>
      <c r="D360" s="1" t="s">
        <v>55</v>
      </c>
      <c r="E360" s="1" t="s">
        <v>48</v>
      </c>
      <c r="F360">
        <v>118</v>
      </c>
      <c r="G360">
        <v>3691.45</v>
      </c>
      <c r="H360" s="1" t="s">
        <v>29</v>
      </c>
      <c r="I360" s="1" t="s">
        <v>58</v>
      </c>
      <c r="J360" s="2">
        <v>45841</v>
      </c>
      <c r="K360" s="1" t="s">
        <v>26</v>
      </c>
      <c r="L360" s="1">
        <f>IF(Subscriptions[[#This Row],[churned]]="Yes",1,0)</f>
        <v>0</v>
      </c>
      <c r="M360" s="2"/>
      <c r="N360" s="1" t="s">
        <v>30</v>
      </c>
      <c r="O360">
        <v>10</v>
      </c>
      <c r="P360">
        <v>5</v>
      </c>
      <c r="Q360">
        <v>87</v>
      </c>
      <c r="R360" s="1" t="s">
        <v>26</v>
      </c>
    </row>
    <row r="361" spans="1:18" x14ac:dyDescent="0.35">
      <c r="A361" s="1" t="s">
        <v>417</v>
      </c>
      <c r="B361" s="1" t="s">
        <v>32</v>
      </c>
      <c r="C361" s="1" t="s">
        <v>28</v>
      </c>
      <c r="D361" s="1" t="s">
        <v>82</v>
      </c>
      <c r="E361" s="1" t="s">
        <v>45</v>
      </c>
      <c r="F361">
        <v>2</v>
      </c>
      <c r="G361">
        <v>28.35</v>
      </c>
      <c r="H361" s="1" t="s">
        <v>101</v>
      </c>
      <c r="I361" s="1" t="s">
        <v>40</v>
      </c>
      <c r="J361" s="2">
        <v>44780</v>
      </c>
      <c r="K361" s="1" t="s">
        <v>26</v>
      </c>
      <c r="L361" s="1">
        <f>IF(Subscriptions[[#This Row],[churned]]="Yes",1,0)</f>
        <v>0</v>
      </c>
      <c r="M361" s="2"/>
      <c r="N361" s="1" t="s">
        <v>30</v>
      </c>
      <c r="O361">
        <v>11</v>
      </c>
      <c r="P361">
        <v>6</v>
      </c>
      <c r="Q361">
        <v>20</v>
      </c>
      <c r="R361" s="1" t="s">
        <v>26</v>
      </c>
    </row>
    <row r="362" spans="1:18" x14ac:dyDescent="0.35">
      <c r="A362" s="1" t="s">
        <v>418</v>
      </c>
      <c r="B362" s="1" t="s">
        <v>18</v>
      </c>
      <c r="C362" s="1" t="s">
        <v>28</v>
      </c>
      <c r="D362" s="1" t="s">
        <v>20</v>
      </c>
      <c r="E362" s="1" t="s">
        <v>45</v>
      </c>
      <c r="F362">
        <v>7</v>
      </c>
      <c r="G362">
        <v>127.59</v>
      </c>
      <c r="H362" s="1" t="s">
        <v>63</v>
      </c>
      <c r="I362" s="1" t="s">
        <v>40</v>
      </c>
      <c r="J362" s="2">
        <v>45451</v>
      </c>
      <c r="K362" s="1" t="s">
        <v>26</v>
      </c>
      <c r="L362" s="1">
        <f>IF(Subscriptions[[#This Row],[churned]]="Yes",1,0)</f>
        <v>0</v>
      </c>
      <c r="M362" s="2"/>
      <c r="N362" s="1" t="s">
        <v>30</v>
      </c>
      <c r="O362">
        <v>12</v>
      </c>
      <c r="P362">
        <v>7</v>
      </c>
      <c r="Q362">
        <v>31</v>
      </c>
      <c r="R362" s="1" t="s">
        <v>26</v>
      </c>
    </row>
    <row r="363" spans="1:18" x14ac:dyDescent="0.35">
      <c r="A363" s="1" t="s">
        <v>419</v>
      </c>
      <c r="B363" s="1" t="s">
        <v>74</v>
      </c>
      <c r="C363" s="1" t="s">
        <v>19</v>
      </c>
      <c r="D363" s="1" t="s">
        <v>55</v>
      </c>
      <c r="E363" s="1" t="s">
        <v>21</v>
      </c>
      <c r="F363">
        <v>59</v>
      </c>
      <c r="G363">
        <v>4840.3</v>
      </c>
      <c r="H363" s="1" t="s">
        <v>22</v>
      </c>
      <c r="I363" s="1" t="s">
        <v>23</v>
      </c>
      <c r="J363" s="2">
        <v>45190</v>
      </c>
      <c r="K363" s="1" t="s">
        <v>26</v>
      </c>
      <c r="L363" s="1">
        <f>IF(Subscriptions[[#This Row],[churned]]="Yes",1,0)</f>
        <v>0</v>
      </c>
      <c r="M363" s="2"/>
      <c r="N363" s="1" t="s">
        <v>30</v>
      </c>
      <c r="O363">
        <v>0</v>
      </c>
      <c r="P363">
        <v>3</v>
      </c>
      <c r="Q363">
        <v>90</v>
      </c>
      <c r="R363" s="1" t="s">
        <v>26</v>
      </c>
    </row>
    <row r="364" spans="1:18" x14ac:dyDescent="0.35">
      <c r="A364" s="1" t="s">
        <v>420</v>
      </c>
      <c r="B364" s="1" t="s">
        <v>74</v>
      </c>
      <c r="C364" s="1" t="s">
        <v>19</v>
      </c>
      <c r="D364" s="1" t="s">
        <v>44</v>
      </c>
      <c r="E364" s="1" t="s">
        <v>45</v>
      </c>
      <c r="F364">
        <v>7</v>
      </c>
      <c r="G364">
        <v>948.1</v>
      </c>
      <c r="H364" s="1" t="s">
        <v>101</v>
      </c>
      <c r="I364" s="1" t="s">
        <v>23</v>
      </c>
      <c r="J364" s="2">
        <v>45357</v>
      </c>
      <c r="K364" s="1" t="s">
        <v>26</v>
      </c>
      <c r="L364" s="1">
        <f>IF(Subscriptions[[#This Row],[churned]]="Yes",1,0)</f>
        <v>0</v>
      </c>
      <c r="M364" s="2"/>
      <c r="N364" s="1" t="s">
        <v>30</v>
      </c>
      <c r="O364">
        <v>2</v>
      </c>
      <c r="P364">
        <v>6</v>
      </c>
      <c r="Q364">
        <v>41</v>
      </c>
      <c r="R364" s="1" t="s">
        <v>26</v>
      </c>
    </row>
    <row r="365" spans="1:18" x14ac:dyDescent="0.35">
      <c r="A365" s="1" t="s">
        <v>421</v>
      </c>
      <c r="B365" s="1" t="s">
        <v>37</v>
      </c>
      <c r="C365" s="1" t="s">
        <v>19</v>
      </c>
      <c r="D365" s="1" t="s">
        <v>71</v>
      </c>
      <c r="E365" s="1" t="s">
        <v>39</v>
      </c>
      <c r="F365">
        <v>17</v>
      </c>
      <c r="G365">
        <v>676.6</v>
      </c>
      <c r="H365" s="1" t="s">
        <v>35</v>
      </c>
      <c r="I365" s="1" t="s">
        <v>23</v>
      </c>
      <c r="J365" s="2">
        <v>44656</v>
      </c>
      <c r="K365" s="1" t="s">
        <v>24</v>
      </c>
      <c r="L365" s="1">
        <f>IF(Subscriptions[[#This Row],[churned]]="Yes",1,0)</f>
        <v>1</v>
      </c>
      <c r="M365" s="2">
        <v>45920</v>
      </c>
      <c r="N365" s="1" t="s">
        <v>25</v>
      </c>
      <c r="O365">
        <v>7</v>
      </c>
      <c r="P365">
        <v>4</v>
      </c>
      <c r="Q365">
        <v>13</v>
      </c>
      <c r="R365" s="1" t="s">
        <v>26</v>
      </c>
    </row>
    <row r="366" spans="1:18" x14ac:dyDescent="0.35">
      <c r="A366" s="1" t="s">
        <v>422</v>
      </c>
      <c r="B366" s="1" t="s">
        <v>32</v>
      </c>
      <c r="C366" s="1" t="s">
        <v>19</v>
      </c>
      <c r="D366" s="1" t="s">
        <v>82</v>
      </c>
      <c r="E366" s="1" t="s">
        <v>39</v>
      </c>
      <c r="F366">
        <v>14</v>
      </c>
      <c r="G366">
        <v>85.55</v>
      </c>
      <c r="H366" s="1" t="s">
        <v>35</v>
      </c>
      <c r="I366" s="1" t="s">
        <v>72</v>
      </c>
      <c r="J366" s="2">
        <v>45362</v>
      </c>
      <c r="K366" s="1" t="s">
        <v>24</v>
      </c>
      <c r="L366" s="1">
        <f>IF(Subscriptions[[#This Row],[churned]]="Yes",1,0)</f>
        <v>1</v>
      </c>
      <c r="M366" s="2">
        <v>45450</v>
      </c>
      <c r="N366" s="1" t="s">
        <v>53</v>
      </c>
      <c r="O366">
        <v>9</v>
      </c>
      <c r="P366">
        <v>2</v>
      </c>
      <c r="Q366">
        <v>14</v>
      </c>
      <c r="R366" s="1" t="s">
        <v>26</v>
      </c>
    </row>
    <row r="367" spans="1:18" x14ac:dyDescent="0.35">
      <c r="A367" s="1" t="s">
        <v>423</v>
      </c>
      <c r="B367" s="1" t="s">
        <v>18</v>
      </c>
      <c r="C367" s="1" t="s">
        <v>19</v>
      </c>
      <c r="D367" s="1" t="s">
        <v>65</v>
      </c>
      <c r="E367" s="1" t="s">
        <v>21</v>
      </c>
      <c r="F367">
        <v>52</v>
      </c>
      <c r="G367">
        <v>683.35</v>
      </c>
      <c r="H367" s="1" t="s">
        <v>63</v>
      </c>
      <c r="I367" s="1" t="s">
        <v>23</v>
      </c>
      <c r="J367" s="2">
        <v>45928</v>
      </c>
      <c r="K367" s="1" t="s">
        <v>26</v>
      </c>
      <c r="L367" s="1">
        <f>IF(Subscriptions[[#This Row],[churned]]="Yes",1,0)</f>
        <v>0</v>
      </c>
      <c r="M367" s="2"/>
      <c r="N367" s="1" t="s">
        <v>30</v>
      </c>
      <c r="O367">
        <v>11</v>
      </c>
      <c r="P367">
        <v>8</v>
      </c>
      <c r="Q367">
        <v>17</v>
      </c>
      <c r="R367" s="1" t="s">
        <v>26</v>
      </c>
    </row>
    <row r="368" spans="1:18" x14ac:dyDescent="0.35">
      <c r="A368" s="1" t="s">
        <v>424</v>
      </c>
      <c r="B368" s="1" t="s">
        <v>32</v>
      </c>
      <c r="C368" s="1" t="s">
        <v>28</v>
      </c>
      <c r="D368" s="1" t="s">
        <v>82</v>
      </c>
      <c r="E368" s="1" t="s">
        <v>45</v>
      </c>
      <c r="F368">
        <v>5</v>
      </c>
      <c r="G368">
        <v>39.44</v>
      </c>
      <c r="H368" s="1" t="s">
        <v>46</v>
      </c>
      <c r="I368" s="1" t="s">
        <v>23</v>
      </c>
      <c r="J368" s="2">
        <v>45136</v>
      </c>
      <c r="K368" s="1" t="s">
        <v>26</v>
      </c>
      <c r="L368" s="1">
        <f>IF(Subscriptions[[#This Row],[churned]]="Yes",1,0)</f>
        <v>0</v>
      </c>
      <c r="M368" s="2"/>
      <c r="N368" s="1" t="s">
        <v>30</v>
      </c>
      <c r="O368">
        <v>1</v>
      </c>
      <c r="P368">
        <v>3</v>
      </c>
      <c r="Q368">
        <v>80</v>
      </c>
      <c r="R368" s="1" t="s">
        <v>26</v>
      </c>
    </row>
    <row r="369" spans="1:18" x14ac:dyDescent="0.35">
      <c r="A369" s="1" t="s">
        <v>425</v>
      </c>
      <c r="B369" s="1" t="s">
        <v>18</v>
      </c>
      <c r="C369" s="1" t="s">
        <v>28</v>
      </c>
      <c r="D369" s="1" t="s">
        <v>52</v>
      </c>
      <c r="E369" s="1" t="s">
        <v>39</v>
      </c>
      <c r="F369">
        <v>25</v>
      </c>
      <c r="G369">
        <v>308.89</v>
      </c>
      <c r="H369" s="1" t="s">
        <v>35</v>
      </c>
      <c r="I369" s="1" t="s">
        <v>23</v>
      </c>
      <c r="J369" s="2">
        <v>45429</v>
      </c>
      <c r="K369" s="1" t="s">
        <v>26</v>
      </c>
      <c r="L369" s="1">
        <f>IF(Subscriptions[[#This Row],[churned]]="Yes",1,0)</f>
        <v>0</v>
      </c>
      <c r="M369" s="2"/>
      <c r="N369" s="1" t="s">
        <v>30</v>
      </c>
      <c r="O369">
        <v>3</v>
      </c>
      <c r="P369">
        <v>6</v>
      </c>
      <c r="Q369">
        <v>92</v>
      </c>
      <c r="R369" s="1" t="s">
        <v>26</v>
      </c>
    </row>
    <row r="370" spans="1:18" x14ac:dyDescent="0.35">
      <c r="A370" s="1" t="s">
        <v>426</v>
      </c>
      <c r="B370" s="1" t="s">
        <v>74</v>
      </c>
      <c r="C370" s="1" t="s">
        <v>19</v>
      </c>
      <c r="D370" s="1" t="s">
        <v>20</v>
      </c>
      <c r="E370" s="1" t="s">
        <v>39</v>
      </c>
      <c r="F370">
        <v>25</v>
      </c>
      <c r="G370">
        <v>2295.4</v>
      </c>
      <c r="H370" s="1" t="s">
        <v>29</v>
      </c>
      <c r="I370" s="1" t="s">
        <v>23</v>
      </c>
      <c r="J370" s="2">
        <v>45725</v>
      </c>
      <c r="K370" s="1" t="s">
        <v>24</v>
      </c>
      <c r="L370" s="1">
        <f>IF(Subscriptions[[#This Row],[churned]]="Yes",1,0)</f>
        <v>1</v>
      </c>
      <c r="M370" s="2">
        <v>45775</v>
      </c>
      <c r="N370" s="1" t="s">
        <v>53</v>
      </c>
      <c r="O370">
        <v>9</v>
      </c>
      <c r="P370">
        <v>6</v>
      </c>
      <c r="Q370">
        <v>37</v>
      </c>
      <c r="R370" s="1" t="s">
        <v>26</v>
      </c>
    </row>
    <row r="371" spans="1:18" x14ac:dyDescent="0.35">
      <c r="A371" s="1" t="s">
        <v>427</v>
      </c>
      <c r="B371" s="1" t="s">
        <v>32</v>
      </c>
      <c r="C371" s="1" t="s">
        <v>19</v>
      </c>
      <c r="D371" s="1" t="s">
        <v>38</v>
      </c>
      <c r="E371" s="1" t="s">
        <v>48</v>
      </c>
      <c r="F371">
        <v>117</v>
      </c>
      <c r="G371">
        <v>533.6</v>
      </c>
      <c r="H371" s="1" t="s">
        <v>22</v>
      </c>
      <c r="I371" s="1" t="s">
        <v>23</v>
      </c>
      <c r="J371" s="2">
        <v>45492</v>
      </c>
      <c r="K371" s="1" t="s">
        <v>24</v>
      </c>
      <c r="L371" s="1">
        <f>IF(Subscriptions[[#This Row],[churned]]="Yes",1,0)</f>
        <v>1</v>
      </c>
      <c r="M371" s="2">
        <v>45775</v>
      </c>
      <c r="N371" s="1" t="s">
        <v>25</v>
      </c>
      <c r="O371">
        <v>8</v>
      </c>
      <c r="P371">
        <v>6</v>
      </c>
      <c r="Q371">
        <v>10</v>
      </c>
      <c r="R371" s="1" t="s">
        <v>26</v>
      </c>
    </row>
    <row r="372" spans="1:18" x14ac:dyDescent="0.35">
      <c r="A372" s="1" t="s">
        <v>428</v>
      </c>
      <c r="B372" s="1" t="s">
        <v>32</v>
      </c>
      <c r="C372" s="1" t="s">
        <v>19</v>
      </c>
      <c r="D372" s="1" t="s">
        <v>82</v>
      </c>
      <c r="E372" s="1" t="s">
        <v>21</v>
      </c>
      <c r="F372">
        <v>39</v>
      </c>
      <c r="G372">
        <v>194.3</v>
      </c>
      <c r="H372" s="1" t="s">
        <v>46</v>
      </c>
      <c r="I372" s="1" t="s">
        <v>72</v>
      </c>
      <c r="J372" s="2">
        <v>45352</v>
      </c>
      <c r="K372" s="1" t="s">
        <v>24</v>
      </c>
      <c r="L372" s="1">
        <f>IF(Subscriptions[[#This Row],[churned]]="Yes",1,0)</f>
        <v>1</v>
      </c>
      <c r="M372" s="2">
        <v>45399</v>
      </c>
      <c r="N372" s="1" t="s">
        <v>25</v>
      </c>
      <c r="O372">
        <v>13</v>
      </c>
      <c r="P372">
        <v>1</v>
      </c>
      <c r="Q372">
        <v>22</v>
      </c>
      <c r="R372" s="1" t="s">
        <v>26</v>
      </c>
    </row>
    <row r="373" spans="1:18" x14ac:dyDescent="0.35">
      <c r="A373" s="1" t="s">
        <v>429</v>
      </c>
      <c r="B373" s="1" t="s">
        <v>37</v>
      </c>
      <c r="C373" s="1" t="s">
        <v>19</v>
      </c>
      <c r="D373" s="1" t="s">
        <v>71</v>
      </c>
      <c r="E373" s="1" t="s">
        <v>39</v>
      </c>
      <c r="F373">
        <v>29</v>
      </c>
      <c r="G373">
        <v>1034.8</v>
      </c>
      <c r="H373" s="1" t="s">
        <v>63</v>
      </c>
      <c r="I373" s="1" t="s">
        <v>58</v>
      </c>
      <c r="J373" s="2">
        <v>44967</v>
      </c>
      <c r="K373" s="1" t="s">
        <v>24</v>
      </c>
      <c r="L373" s="1">
        <f>IF(Subscriptions[[#This Row],[churned]]="Yes",1,0)</f>
        <v>1</v>
      </c>
      <c r="M373" s="2">
        <v>45944</v>
      </c>
      <c r="N373" s="1" t="s">
        <v>59</v>
      </c>
      <c r="O373">
        <v>12</v>
      </c>
      <c r="P373">
        <v>1</v>
      </c>
      <c r="Q373">
        <v>34</v>
      </c>
      <c r="R373" s="1" t="s">
        <v>26</v>
      </c>
    </row>
    <row r="374" spans="1:18" x14ac:dyDescent="0.35">
      <c r="A374" s="1" t="s">
        <v>430</v>
      </c>
      <c r="B374" s="1" t="s">
        <v>37</v>
      </c>
      <c r="C374" s="1" t="s">
        <v>19</v>
      </c>
      <c r="D374" s="1" t="s">
        <v>33</v>
      </c>
      <c r="E374" s="1" t="s">
        <v>45</v>
      </c>
      <c r="F374">
        <v>4</v>
      </c>
      <c r="G374">
        <v>288.55</v>
      </c>
      <c r="H374" s="1" t="s">
        <v>35</v>
      </c>
      <c r="I374" s="1" t="s">
        <v>40</v>
      </c>
      <c r="J374" s="2">
        <v>45959</v>
      </c>
      <c r="K374" s="1" t="s">
        <v>26</v>
      </c>
      <c r="L374" s="1">
        <f>IF(Subscriptions[[#This Row],[churned]]="Yes",1,0)</f>
        <v>0</v>
      </c>
      <c r="M374" s="2"/>
      <c r="N374" s="1" t="s">
        <v>30</v>
      </c>
      <c r="O374">
        <v>6</v>
      </c>
      <c r="P374">
        <v>2</v>
      </c>
      <c r="Q374">
        <v>63</v>
      </c>
      <c r="R374" s="1" t="s">
        <v>26</v>
      </c>
    </row>
    <row r="375" spans="1:18" x14ac:dyDescent="0.35">
      <c r="A375" s="1" t="s">
        <v>431</v>
      </c>
      <c r="B375" s="1" t="s">
        <v>32</v>
      </c>
      <c r="C375" s="1" t="s">
        <v>19</v>
      </c>
      <c r="D375" s="1" t="s">
        <v>38</v>
      </c>
      <c r="E375" s="1" t="s">
        <v>48</v>
      </c>
      <c r="F375">
        <v>139</v>
      </c>
      <c r="G375">
        <v>629.29999999999995</v>
      </c>
      <c r="H375" s="1" t="s">
        <v>63</v>
      </c>
      <c r="I375" s="1" t="s">
        <v>58</v>
      </c>
      <c r="J375" s="2">
        <v>44569</v>
      </c>
      <c r="K375" s="1" t="s">
        <v>24</v>
      </c>
      <c r="L375" s="1">
        <f>IF(Subscriptions[[#This Row],[churned]]="Yes",1,0)</f>
        <v>1</v>
      </c>
      <c r="M375" s="2">
        <v>44659</v>
      </c>
      <c r="N375" s="1" t="s">
        <v>85</v>
      </c>
      <c r="O375">
        <v>10</v>
      </c>
      <c r="P375">
        <v>6</v>
      </c>
      <c r="Q375">
        <v>20</v>
      </c>
      <c r="R375" s="1" t="s">
        <v>26</v>
      </c>
    </row>
    <row r="376" spans="1:18" x14ac:dyDescent="0.35">
      <c r="A376" s="1" t="s">
        <v>432</v>
      </c>
      <c r="B376" s="1" t="s">
        <v>32</v>
      </c>
      <c r="C376" s="1" t="s">
        <v>28</v>
      </c>
      <c r="D376" s="1" t="s">
        <v>71</v>
      </c>
      <c r="E376" s="1" t="s">
        <v>39</v>
      </c>
      <c r="F376">
        <v>16</v>
      </c>
      <c r="G376">
        <v>80.11</v>
      </c>
      <c r="H376" s="1" t="s">
        <v>22</v>
      </c>
      <c r="I376" s="1" t="s">
        <v>40</v>
      </c>
      <c r="J376" s="2">
        <v>44693</v>
      </c>
      <c r="K376" s="1" t="s">
        <v>24</v>
      </c>
      <c r="L376" s="1">
        <f>IF(Subscriptions[[#This Row],[churned]]="Yes",1,0)</f>
        <v>1</v>
      </c>
      <c r="M376" s="2">
        <v>44931</v>
      </c>
      <c r="N376" s="1" t="s">
        <v>85</v>
      </c>
      <c r="O376">
        <v>7</v>
      </c>
      <c r="P376">
        <v>5</v>
      </c>
      <c r="Q376">
        <v>18</v>
      </c>
      <c r="R376" s="1" t="s">
        <v>26</v>
      </c>
    </row>
    <row r="377" spans="1:18" x14ac:dyDescent="0.35">
      <c r="A377" s="1" t="s">
        <v>433</v>
      </c>
      <c r="B377" s="1" t="s">
        <v>74</v>
      </c>
      <c r="C377" s="1" t="s">
        <v>28</v>
      </c>
      <c r="D377" s="1" t="s">
        <v>55</v>
      </c>
      <c r="E377" s="1" t="s">
        <v>21</v>
      </c>
      <c r="F377">
        <v>46</v>
      </c>
      <c r="G377">
        <v>3287.16</v>
      </c>
      <c r="H377" s="1" t="s">
        <v>35</v>
      </c>
      <c r="I377" s="1" t="s">
        <v>23</v>
      </c>
      <c r="J377" s="2">
        <v>44994</v>
      </c>
      <c r="K377" s="1" t="s">
        <v>24</v>
      </c>
      <c r="L377" s="1">
        <f>IF(Subscriptions[[#This Row],[churned]]="Yes",1,0)</f>
        <v>1</v>
      </c>
      <c r="M377" s="2">
        <v>45459</v>
      </c>
      <c r="N377" s="1" t="s">
        <v>66</v>
      </c>
      <c r="O377">
        <v>12</v>
      </c>
      <c r="P377">
        <v>5</v>
      </c>
      <c r="Q377">
        <v>27</v>
      </c>
      <c r="R377" s="1" t="s">
        <v>26</v>
      </c>
    </row>
    <row r="378" spans="1:18" x14ac:dyDescent="0.35">
      <c r="A378" s="1" t="s">
        <v>434</v>
      </c>
      <c r="B378" s="1" t="s">
        <v>32</v>
      </c>
      <c r="C378" s="1" t="s">
        <v>19</v>
      </c>
      <c r="D378" s="1" t="s">
        <v>71</v>
      </c>
      <c r="E378" s="1" t="s">
        <v>39</v>
      </c>
      <c r="F378">
        <v>26</v>
      </c>
      <c r="G378">
        <v>137.75</v>
      </c>
      <c r="H378" s="1" t="s">
        <v>22</v>
      </c>
      <c r="I378" s="1" t="s">
        <v>72</v>
      </c>
      <c r="J378" s="2">
        <v>45191</v>
      </c>
      <c r="K378" s="1" t="s">
        <v>24</v>
      </c>
      <c r="L378" s="1">
        <f>IF(Subscriptions[[#This Row],[churned]]="Yes",1,0)</f>
        <v>1</v>
      </c>
      <c r="M378" s="2">
        <v>45269</v>
      </c>
      <c r="N378" s="1" t="s">
        <v>49</v>
      </c>
      <c r="O378">
        <v>12</v>
      </c>
      <c r="P378">
        <v>1</v>
      </c>
      <c r="Q378">
        <v>33</v>
      </c>
      <c r="R378" s="1" t="s">
        <v>26</v>
      </c>
    </row>
    <row r="379" spans="1:18" x14ac:dyDescent="0.35">
      <c r="A379" s="1" t="s">
        <v>435</v>
      </c>
      <c r="B379" s="1" t="s">
        <v>37</v>
      </c>
      <c r="C379" s="1" t="s">
        <v>19</v>
      </c>
      <c r="D379" s="1" t="s">
        <v>42</v>
      </c>
      <c r="E379" s="1" t="s">
        <v>39</v>
      </c>
      <c r="F379">
        <v>5</v>
      </c>
      <c r="G379">
        <v>318.39999999999998</v>
      </c>
      <c r="H379" s="1" t="s">
        <v>22</v>
      </c>
      <c r="I379" s="1" t="s">
        <v>58</v>
      </c>
      <c r="J379" s="2">
        <v>44692</v>
      </c>
      <c r="K379" s="1" t="s">
        <v>24</v>
      </c>
      <c r="L379" s="1">
        <f>IF(Subscriptions[[#This Row],[churned]]="Yes",1,0)</f>
        <v>1</v>
      </c>
      <c r="M379" s="2">
        <v>45237</v>
      </c>
      <c r="N379" s="1" t="s">
        <v>49</v>
      </c>
      <c r="O379">
        <v>10</v>
      </c>
      <c r="P379">
        <v>6</v>
      </c>
      <c r="Q379">
        <v>31</v>
      </c>
      <c r="R379" s="1" t="s">
        <v>26</v>
      </c>
    </row>
    <row r="380" spans="1:18" x14ac:dyDescent="0.35">
      <c r="A380" s="1" t="s">
        <v>436</v>
      </c>
      <c r="B380" s="1" t="s">
        <v>32</v>
      </c>
      <c r="C380" s="1" t="s">
        <v>28</v>
      </c>
      <c r="D380" s="1" t="s">
        <v>44</v>
      </c>
      <c r="E380" s="1" t="s">
        <v>48</v>
      </c>
      <c r="F380">
        <v>62</v>
      </c>
      <c r="G380">
        <v>250.2</v>
      </c>
      <c r="H380" s="1" t="s">
        <v>101</v>
      </c>
      <c r="I380" s="1" t="s">
        <v>58</v>
      </c>
      <c r="J380" s="2">
        <v>45129</v>
      </c>
      <c r="K380" s="1" t="s">
        <v>24</v>
      </c>
      <c r="L380" s="1">
        <f>IF(Subscriptions[[#This Row],[churned]]="Yes",1,0)</f>
        <v>1</v>
      </c>
      <c r="M380" s="2">
        <v>45162</v>
      </c>
      <c r="N380" s="1" t="s">
        <v>85</v>
      </c>
      <c r="O380">
        <v>13</v>
      </c>
      <c r="P380">
        <v>6</v>
      </c>
      <c r="Q380">
        <v>10</v>
      </c>
      <c r="R380" s="1" t="s">
        <v>26</v>
      </c>
    </row>
    <row r="381" spans="1:18" x14ac:dyDescent="0.35">
      <c r="A381" s="1" t="s">
        <v>437</v>
      </c>
      <c r="B381" s="1" t="s">
        <v>37</v>
      </c>
      <c r="C381" s="1" t="s">
        <v>28</v>
      </c>
      <c r="D381" s="1" t="s">
        <v>42</v>
      </c>
      <c r="E381" s="1" t="s">
        <v>48</v>
      </c>
      <c r="F381">
        <v>150</v>
      </c>
      <c r="G381">
        <v>3949.65</v>
      </c>
      <c r="H381" s="1" t="s">
        <v>22</v>
      </c>
      <c r="I381" s="1" t="s">
        <v>23</v>
      </c>
      <c r="J381" s="2">
        <v>45389</v>
      </c>
      <c r="K381" s="1" t="s">
        <v>26</v>
      </c>
      <c r="L381" s="1">
        <f>IF(Subscriptions[[#This Row],[churned]]="Yes",1,0)</f>
        <v>0</v>
      </c>
      <c r="M381" s="2"/>
      <c r="N381" s="1" t="s">
        <v>30</v>
      </c>
      <c r="O381">
        <v>7</v>
      </c>
      <c r="P381">
        <v>9</v>
      </c>
      <c r="Q381">
        <v>67</v>
      </c>
      <c r="R381" s="1" t="s">
        <v>26</v>
      </c>
    </row>
    <row r="382" spans="1:18" x14ac:dyDescent="0.35">
      <c r="A382" s="1" t="s">
        <v>438</v>
      </c>
      <c r="B382" s="1" t="s">
        <v>32</v>
      </c>
      <c r="C382" s="1" t="s">
        <v>28</v>
      </c>
      <c r="D382" s="1" t="s">
        <v>38</v>
      </c>
      <c r="E382" s="1" t="s">
        <v>48</v>
      </c>
      <c r="F382">
        <v>126</v>
      </c>
      <c r="G382">
        <v>486.84</v>
      </c>
      <c r="H382" s="1" t="s">
        <v>29</v>
      </c>
      <c r="I382" s="1" t="s">
        <v>58</v>
      </c>
      <c r="J382" s="2">
        <v>44799</v>
      </c>
      <c r="K382" s="1" t="s">
        <v>26</v>
      </c>
      <c r="L382" s="1">
        <f>IF(Subscriptions[[#This Row],[churned]]="Yes",1,0)</f>
        <v>0</v>
      </c>
      <c r="M382" s="2"/>
      <c r="N382" s="1" t="s">
        <v>30</v>
      </c>
      <c r="O382">
        <v>11</v>
      </c>
      <c r="P382">
        <v>5</v>
      </c>
      <c r="Q382">
        <v>74</v>
      </c>
      <c r="R382" s="1" t="s">
        <v>26</v>
      </c>
    </row>
    <row r="383" spans="1:18" x14ac:dyDescent="0.35">
      <c r="A383" s="1" t="s">
        <v>439</v>
      </c>
      <c r="B383" s="1" t="s">
        <v>32</v>
      </c>
      <c r="C383" s="1" t="s">
        <v>19</v>
      </c>
      <c r="D383" s="1" t="s">
        <v>20</v>
      </c>
      <c r="E383" s="1" t="s">
        <v>39</v>
      </c>
      <c r="F383">
        <v>24</v>
      </c>
      <c r="G383">
        <v>129.05000000000001</v>
      </c>
      <c r="H383" s="1" t="s">
        <v>22</v>
      </c>
      <c r="I383" s="1" t="s">
        <v>23</v>
      </c>
      <c r="J383" s="2">
        <v>44940</v>
      </c>
      <c r="K383" s="1" t="s">
        <v>24</v>
      </c>
      <c r="L383" s="1">
        <f>IF(Subscriptions[[#This Row],[churned]]="Yes",1,0)</f>
        <v>1</v>
      </c>
      <c r="M383" s="2">
        <v>45922</v>
      </c>
      <c r="N383" s="1" t="s">
        <v>25</v>
      </c>
      <c r="O383">
        <v>11</v>
      </c>
      <c r="P383">
        <v>1</v>
      </c>
      <c r="Q383">
        <v>16</v>
      </c>
      <c r="R383" s="1" t="s">
        <v>26</v>
      </c>
    </row>
    <row r="384" spans="1:18" x14ac:dyDescent="0.35">
      <c r="A384" s="1" t="s">
        <v>440</v>
      </c>
      <c r="B384" s="1" t="s">
        <v>18</v>
      </c>
      <c r="C384" s="1" t="s">
        <v>28</v>
      </c>
      <c r="D384" s="1" t="s">
        <v>44</v>
      </c>
      <c r="E384" s="1" t="s">
        <v>45</v>
      </c>
      <c r="F384">
        <v>4</v>
      </c>
      <c r="G384">
        <v>97.37</v>
      </c>
      <c r="H384" s="1" t="s">
        <v>46</v>
      </c>
      <c r="I384" s="1" t="s">
        <v>23</v>
      </c>
      <c r="J384" s="2">
        <v>45715</v>
      </c>
      <c r="K384" s="1" t="s">
        <v>24</v>
      </c>
      <c r="L384" s="1">
        <f>IF(Subscriptions[[#This Row],[churned]]="Yes",1,0)</f>
        <v>1</v>
      </c>
      <c r="M384" s="2">
        <v>45970</v>
      </c>
      <c r="N384" s="1" t="s">
        <v>53</v>
      </c>
      <c r="O384">
        <v>0</v>
      </c>
      <c r="P384">
        <v>4</v>
      </c>
      <c r="Q384">
        <v>29</v>
      </c>
      <c r="R384" s="1" t="s">
        <v>26</v>
      </c>
    </row>
    <row r="385" spans="1:18" x14ac:dyDescent="0.35">
      <c r="A385" s="1" t="s">
        <v>441</v>
      </c>
      <c r="B385" s="1" t="s">
        <v>74</v>
      </c>
      <c r="C385" s="1" t="s">
        <v>19</v>
      </c>
      <c r="D385" s="1" t="s">
        <v>82</v>
      </c>
      <c r="E385" s="1" t="s">
        <v>48</v>
      </c>
      <c r="F385">
        <v>141</v>
      </c>
      <c r="G385">
        <v>10978</v>
      </c>
      <c r="H385" s="1" t="s">
        <v>63</v>
      </c>
      <c r="I385" s="1" t="s">
        <v>40</v>
      </c>
      <c r="J385" s="2">
        <v>44828</v>
      </c>
      <c r="K385" s="1" t="s">
        <v>26</v>
      </c>
      <c r="L385" s="1">
        <f>IF(Subscriptions[[#This Row],[churned]]="Yes",1,0)</f>
        <v>0</v>
      </c>
      <c r="M385" s="2"/>
      <c r="N385" s="1" t="s">
        <v>30</v>
      </c>
      <c r="O385">
        <v>6</v>
      </c>
      <c r="P385">
        <v>2</v>
      </c>
      <c r="Q385">
        <v>49</v>
      </c>
      <c r="R385" s="1" t="s">
        <v>26</v>
      </c>
    </row>
    <row r="386" spans="1:18" x14ac:dyDescent="0.35">
      <c r="A386" s="1" t="s">
        <v>442</v>
      </c>
      <c r="B386" s="1" t="s">
        <v>32</v>
      </c>
      <c r="C386" s="1" t="s">
        <v>28</v>
      </c>
      <c r="D386" s="1" t="s">
        <v>20</v>
      </c>
      <c r="E386" s="1" t="s">
        <v>48</v>
      </c>
      <c r="F386">
        <v>142</v>
      </c>
      <c r="G386">
        <v>546</v>
      </c>
      <c r="H386" s="1" t="s">
        <v>63</v>
      </c>
      <c r="I386" s="1" t="s">
        <v>23</v>
      </c>
      <c r="J386" s="2">
        <v>45171</v>
      </c>
      <c r="K386" s="1" t="s">
        <v>24</v>
      </c>
      <c r="L386" s="1">
        <f>IF(Subscriptions[[#This Row],[churned]]="Yes",1,0)</f>
        <v>1</v>
      </c>
      <c r="M386" s="2">
        <v>45199</v>
      </c>
      <c r="N386" s="1" t="s">
        <v>66</v>
      </c>
      <c r="O386">
        <v>13</v>
      </c>
      <c r="P386">
        <v>2</v>
      </c>
      <c r="Q386">
        <v>31</v>
      </c>
      <c r="R386" s="1" t="s">
        <v>26</v>
      </c>
    </row>
    <row r="387" spans="1:18" x14ac:dyDescent="0.35">
      <c r="A387" s="1" t="s">
        <v>443</v>
      </c>
      <c r="B387" s="1" t="s">
        <v>18</v>
      </c>
      <c r="C387" s="1" t="s">
        <v>19</v>
      </c>
      <c r="D387" s="1" t="s">
        <v>38</v>
      </c>
      <c r="E387" s="1" t="s">
        <v>45</v>
      </c>
      <c r="F387">
        <v>4</v>
      </c>
      <c r="G387">
        <v>114.55</v>
      </c>
      <c r="H387" s="1" t="s">
        <v>46</v>
      </c>
      <c r="I387" s="1" t="s">
        <v>72</v>
      </c>
      <c r="J387" s="2">
        <v>45889</v>
      </c>
      <c r="K387" s="1" t="s">
        <v>24</v>
      </c>
      <c r="L387" s="1">
        <f>IF(Subscriptions[[#This Row],[churned]]="Yes",1,0)</f>
        <v>1</v>
      </c>
      <c r="M387" s="2">
        <v>46004</v>
      </c>
      <c r="N387" s="1" t="s">
        <v>56</v>
      </c>
      <c r="O387">
        <v>7</v>
      </c>
      <c r="P387">
        <v>1</v>
      </c>
      <c r="Q387">
        <v>24</v>
      </c>
      <c r="R387" s="1" t="s">
        <v>26</v>
      </c>
    </row>
    <row r="388" spans="1:18" x14ac:dyDescent="0.35">
      <c r="A388" s="1" t="s">
        <v>444</v>
      </c>
      <c r="B388" s="1" t="s">
        <v>32</v>
      </c>
      <c r="C388" s="1" t="s">
        <v>19</v>
      </c>
      <c r="D388" s="1" t="s">
        <v>71</v>
      </c>
      <c r="E388" s="1" t="s">
        <v>45</v>
      </c>
      <c r="F388">
        <v>3</v>
      </c>
      <c r="G388">
        <v>37.700000000000003</v>
      </c>
      <c r="H388" s="1" t="s">
        <v>46</v>
      </c>
      <c r="I388" s="1" t="s">
        <v>23</v>
      </c>
      <c r="J388" s="2">
        <v>45137</v>
      </c>
      <c r="K388" s="1" t="s">
        <v>24</v>
      </c>
      <c r="L388" s="1">
        <f>IF(Subscriptions[[#This Row],[churned]]="Yes",1,0)</f>
        <v>1</v>
      </c>
      <c r="M388" s="2">
        <v>45270</v>
      </c>
      <c r="N388" s="1" t="s">
        <v>25</v>
      </c>
      <c r="O388">
        <v>11</v>
      </c>
      <c r="P388">
        <v>1</v>
      </c>
      <c r="Q388">
        <v>46</v>
      </c>
      <c r="R388" s="1" t="s">
        <v>26</v>
      </c>
    </row>
    <row r="389" spans="1:18" x14ac:dyDescent="0.35">
      <c r="A389" s="1" t="s">
        <v>445</v>
      </c>
      <c r="B389" s="1" t="s">
        <v>18</v>
      </c>
      <c r="C389" s="1" t="s">
        <v>28</v>
      </c>
      <c r="D389" s="1" t="s">
        <v>82</v>
      </c>
      <c r="E389" s="1" t="s">
        <v>39</v>
      </c>
      <c r="F389">
        <v>31</v>
      </c>
      <c r="G389">
        <v>369.33</v>
      </c>
      <c r="H389" s="1" t="s">
        <v>35</v>
      </c>
      <c r="I389" s="1" t="s">
        <v>58</v>
      </c>
      <c r="J389" s="2">
        <v>45071</v>
      </c>
      <c r="K389" s="1" t="s">
        <v>26</v>
      </c>
      <c r="L389" s="1">
        <f>IF(Subscriptions[[#This Row],[churned]]="Yes",1,0)</f>
        <v>0</v>
      </c>
      <c r="M389" s="2"/>
      <c r="N389" s="1" t="s">
        <v>30</v>
      </c>
      <c r="O389">
        <v>11</v>
      </c>
      <c r="P389">
        <v>4</v>
      </c>
      <c r="Q389">
        <v>66</v>
      </c>
      <c r="R389" s="1" t="s">
        <v>26</v>
      </c>
    </row>
    <row r="390" spans="1:18" x14ac:dyDescent="0.35">
      <c r="A390" s="1" t="s">
        <v>446</v>
      </c>
      <c r="B390" s="1" t="s">
        <v>18</v>
      </c>
      <c r="C390" s="1" t="s">
        <v>28</v>
      </c>
      <c r="D390" s="1" t="s">
        <v>52</v>
      </c>
      <c r="E390" s="1" t="s">
        <v>48</v>
      </c>
      <c r="F390">
        <v>94</v>
      </c>
      <c r="G390">
        <v>1003.89</v>
      </c>
      <c r="H390" s="1" t="s">
        <v>46</v>
      </c>
      <c r="I390" s="1" t="s">
        <v>72</v>
      </c>
      <c r="J390" s="2">
        <v>45470</v>
      </c>
      <c r="K390" s="1" t="s">
        <v>26</v>
      </c>
      <c r="L390" s="1">
        <f>IF(Subscriptions[[#This Row],[churned]]="Yes",1,0)</f>
        <v>0</v>
      </c>
      <c r="M390" s="2"/>
      <c r="N390" s="1" t="s">
        <v>30</v>
      </c>
      <c r="O390">
        <v>7</v>
      </c>
      <c r="P390">
        <v>7</v>
      </c>
      <c r="Q390">
        <v>62</v>
      </c>
      <c r="R390" s="1" t="s">
        <v>26</v>
      </c>
    </row>
    <row r="391" spans="1:18" x14ac:dyDescent="0.35">
      <c r="A391" s="1" t="s">
        <v>447</v>
      </c>
      <c r="B391" s="1" t="s">
        <v>18</v>
      </c>
      <c r="C391" s="1" t="s">
        <v>19</v>
      </c>
      <c r="D391" s="1" t="s">
        <v>42</v>
      </c>
      <c r="E391" s="1" t="s">
        <v>48</v>
      </c>
      <c r="F391">
        <v>38</v>
      </c>
      <c r="G391">
        <v>517.45000000000005</v>
      </c>
      <c r="H391" s="1" t="s">
        <v>63</v>
      </c>
      <c r="I391" s="1" t="s">
        <v>23</v>
      </c>
      <c r="J391" s="2">
        <v>45059</v>
      </c>
      <c r="K391" s="1" t="s">
        <v>24</v>
      </c>
      <c r="L391" s="1">
        <f>IF(Subscriptions[[#This Row],[churned]]="Yes",1,0)</f>
        <v>1</v>
      </c>
      <c r="M391" s="2">
        <v>45500</v>
      </c>
      <c r="N391" s="1" t="s">
        <v>49</v>
      </c>
      <c r="O391">
        <v>4</v>
      </c>
      <c r="P391">
        <v>4</v>
      </c>
      <c r="Q391">
        <v>44</v>
      </c>
      <c r="R391" s="1" t="s">
        <v>26</v>
      </c>
    </row>
    <row r="392" spans="1:18" x14ac:dyDescent="0.35">
      <c r="A392" s="1" t="s">
        <v>448</v>
      </c>
      <c r="B392" s="1" t="s">
        <v>32</v>
      </c>
      <c r="C392" s="1" t="s">
        <v>28</v>
      </c>
      <c r="D392" s="1" t="s">
        <v>42</v>
      </c>
      <c r="E392" s="1" t="s">
        <v>45</v>
      </c>
      <c r="F392">
        <v>8</v>
      </c>
      <c r="G392">
        <v>50.53</v>
      </c>
      <c r="H392" s="1" t="s">
        <v>63</v>
      </c>
      <c r="I392" s="1" t="s">
        <v>40</v>
      </c>
      <c r="J392" s="2">
        <v>44865</v>
      </c>
      <c r="K392" s="1" t="s">
        <v>24</v>
      </c>
      <c r="L392" s="1">
        <f>IF(Subscriptions[[#This Row],[churned]]="Yes",1,0)</f>
        <v>1</v>
      </c>
      <c r="M392" s="2">
        <v>45453</v>
      </c>
      <c r="N392" s="1" t="s">
        <v>66</v>
      </c>
      <c r="O392">
        <v>2</v>
      </c>
      <c r="P392">
        <v>6</v>
      </c>
      <c r="Q392">
        <v>17</v>
      </c>
      <c r="R392" s="1" t="s">
        <v>26</v>
      </c>
    </row>
    <row r="393" spans="1:18" x14ac:dyDescent="0.35">
      <c r="A393" s="1" t="s">
        <v>449</v>
      </c>
      <c r="B393" s="1" t="s">
        <v>32</v>
      </c>
      <c r="C393" s="1" t="s">
        <v>19</v>
      </c>
      <c r="D393" s="1" t="s">
        <v>52</v>
      </c>
      <c r="E393" s="1" t="s">
        <v>39</v>
      </c>
      <c r="F393">
        <v>19</v>
      </c>
      <c r="G393">
        <v>107.3</v>
      </c>
      <c r="H393" s="1" t="s">
        <v>63</v>
      </c>
      <c r="I393" s="1" t="s">
        <v>23</v>
      </c>
      <c r="J393" s="2">
        <v>45361</v>
      </c>
      <c r="K393" s="1" t="s">
        <v>24</v>
      </c>
      <c r="L393" s="1">
        <f>IF(Subscriptions[[#This Row],[churned]]="Yes",1,0)</f>
        <v>1</v>
      </c>
      <c r="M393" s="2">
        <v>45418</v>
      </c>
      <c r="N393" s="1" t="s">
        <v>85</v>
      </c>
      <c r="O393">
        <v>9</v>
      </c>
      <c r="P393">
        <v>5</v>
      </c>
      <c r="Q393">
        <v>18</v>
      </c>
      <c r="R393" s="1" t="s">
        <v>26</v>
      </c>
    </row>
    <row r="394" spans="1:18" x14ac:dyDescent="0.35">
      <c r="A394" s="1" t="s">
        <v>450</v>
      </c>
      <c r="B394" s="1" t="s">
        <v>18</v>
      </c>
      <c r="C394" s="1" t="s">
        <v>19</v>
      </c>
      <c r="D394" s="1" t="s">
        <v>52</v>
      </c>
      <c r="E394" s="1" t="s">
        <v>21</v>
      </c>
      <c r="F394">
        <v>39</v>
      </c>
      <c r="G394">
        <v>529.29999999999995</v>
      </c>
      <c r="H394" s="1" t="s">
        <v>29</v>
      </c>
      <c r="I394" s="1" t="s">
        <v>23</v>
      </c>
      <c r="J394" s="2">
        <v>45701</v>
      </c>
      <c r="K394" s="1" t="s">
        <v>26</v>
      </c>
      <c r="L394" s="1">
        <f>IF(Subscriptions[[#This Row],[churned]]="Yes",1,0)</f>
        <v>0</v>
      </c>
      <c r="M394" s="2"/>
      <c r="N394" s="1" t="s">
        <v>30</v>
      </c>
      <c r="O394">
        <v>1</v>
      </c>
      <c r="P394">
        <v>10</v>
      </c>
      <c r="Q394">
        <v>49</v>
      </c>
      <c r="R394" s="1" t="s">
        <v>26</v>
      </c>
    </row>
    <row r="395" spans="1:18" x14ac:dyDescent="0.35">
      <c r="A395" s="1" t="s">
        <v>451</v>
      </c>
      <c r="B395" s="1" t="s">
        <v>18</v>
      </c>
      <c r="C395" s="1" t="s">
        <v>28</v>
      </c>
      <c r="D395" s="1" t="s">
        <v>38</v>
      </c>
      <c r="E395" s="1" t="s">
        <v>39</v>
      </c>
      <c r="F395">
        <v>19</v>
      </c>
      <c r="G395">
        <v>248.46</v>
      </c>
      <c r="H395" s="1" t="s">
        <v>22</v>
      </c>
      <c r="I395" s="1" t="s">
        <v>23</v>
      </c>
      <c r="J395" s="2">
        <v>45379</v>
      </c>
      <c r="K395" s="1" t="s">
        <v>26</v>
      </c>
      <c r="L395" s="1">
        <f>IF(Subscriptions[[#This Row],[churned]]="Yes",1,0)</f>
        <v>0</v>
      </c>
      <c r="M395" s="2"/>
      <c r="N395" s="1" t="s">
        <v>30</v>
      </c>
      <c r="O395">
        <v>5</v>
      </c>
      <c r="P395">
        <v>6</v>
      </c>
      <c r="Q395">
        <v>23</v>
      </c>
      <c r="R395" s="1" t="s">
        <v>26</v>
      </c>
    </row>
    <row r="396" spans="1:18" x14ac:dyDescent="0.35">
      <c r="A396" s="1" t="s">
        <v>452</v>
      </c>
      <c r="B396" s="1" t="s">
        <v>37</v>
      </c>
      <c r="C396" s="1" t="s">
        <v>19</v>
      </c>
      <c r="D396" s="1" t="s">
        <v>33</v>
      </c>
      <c r="E396" s="1" t="s">
        <v>45</v>
      </c>
      <c r="F396">
        <v>4</v>
      </c>
      <c r="G396">
        <v>288.55</v>
      </c>
      <c r="H396" s="1" t="s">
        <v>22</v>
      </c>
      <c r="I396" s="1" t="s">
        <v>40</v>
      </c>
      <c r="J396" s="2">
        <v>45363</v>
      </c>
      <c r="K396" s="1" t="s">
        <v>26</v>
      </c>
      <c r="L396" s="1">
        <f>IF(Subscriptions[[#This Row],[churned]]="Yes",1,0)</f>
        <v>0</v>
      </c>
      <c r="M396" s="2"/>
      <c r="N396" s="1" t="s">
        <v>30</v>
      </c>
      <c r="O396">
        <v>0</v>
      </c>
      <c r="P396">
        <v>4</v>
      </c>
      <c r="Q396">
        <v>39</v>
      </c>
      <c r="R396" s="1" t="s">
        <v>26</v>
      </c>
    </row>
    <row r="397" spans="1:18" x14ac:dyDescent="0.35">
      <c r="A397" s="1" t="s">
        <v>453</v>
      </c>
      <c r="B397" s="1" t="s">
        <v>18</v>
      </c>
      <c r="C397" s="1" t="s">
        <v>19</v>
      </c>
      <c r="D397" s="1" t="s">
        <v>65</v>
      </c>
      <c r="E397" s="1" t="s">
        <v>45</v>
      </c>
      <c r="F397">
        <v>7</v>
      </c>
      <c r="G397">
        <v>150.1</v>
      </c>
      <c r="H397" s="1" t="s">
        <v>46</v>
      </c>
      <c r="I397" s="1" t="s">
        <v>40</v>
      </c>
      <c r="J397" s="2">
        <v>45217</v>
      </c>
      <c r="K397" s="1" t="s">
        <v>26</v>
      </c>
      <c r="L397" s="1">
        <f>IF(Subscriptions[[#This Row],[churned]]="Yes",1,0)</f>
        <v>0</v>
      </c>
      <c r="M397" s="2"/>
      <c r="N397" s="1" t="s">
        <v>30</v>
      </c>
      <c r="O397">
        <v>3</v>
      </c>
      <c r="P397">
        <v>7</v>
      </c>
      <c r="Q397">
        <v>73</v>
      </c>
      <c r="R397" s="1" t="s">
        <v>26</v>
      </c>
    </row>
    <row r="398" spans="1:18" x14ac:dyDescent="0.35">
      <c r="A398" s="1" t="s">
        <v>454</v>
      </c>
      <c r="B398" s="1" t="s">
        <v>32</v>
      </c>
      <c r="C398" s="1" t="s">
        <v>28</v>
      </c>
      <c r="D398" s="1" t="s">
        <v>38</v>
      </c>
      <c r="E398" s="1" t="s">
        <v>39</v>
      </c>
      <c r="F398">
        <v>5</v>
      </c>
      <c r="G398">
        <v>39.44</v>
      </c>
      <c r="H398" s="1" t="s">
        <v>22</v>
      </c>
      <c r="I398" s="1" t="s">
        <v>40</v>
      </c>
      <c r="J398" s="2">
        <v>45518</v>
      </c>
      <c r="K398" s="1" t="s">
        <v>24</v>
      </c>
      <c r="L398" s="1">
        <f>IF(Subscriptions[[#This Row],[churned]]="Yes",1,0)</f>
        <v>1</v>
      </c>
      <c r="M398" s="2">
        <v>45592</v>
      </c>
      <c r="N398" s="1" t="s">
        <v>59</v>
      </c>
      <c r="O398">
        <v>2</v>
      </c>
      <c r="P398">
        <v>1</v>
      </c>
      <c r="Q398">
        <v>39</v>
      </c>
      <c r="R398" s="1" t="s">
        <v>26</v>
      </c>
    </row>
    <row r="399" spans="1:18" x14ac:dyDescent="0.35">
      <c r="A399" s="1" t="s">
        <v>455</v>
      </c>
      <c r="B399" s="1" t="s">
        <v>37</v>
      </c>
      <c r="C399" s="1" t="s">
        <v>28</v>
      </c>
      <c r="D399" s="1" t="s">
        <v>33</v>
      </c>
      <c r="E399" s="1" t="s">
        <v>34</v>
      </c>
      <c r="F399">
        <v>252</v>
      </c>
      <c r="G399">
        <v>6537.65</v>
      </c>
      <c r="H399" s="1" t="s">
        <v>22</v>
      </c>
      <c r="I399" s="1" t="s">
        <v>23</v>
      </c>
      <c r="J399" s="2">
        <v>45044</v>
      </c>
      <c r="K399" s="1" t="s">
        <v>24</v>
      </c>
      <c r="L399" s="1">
        <f>IF(Subscriptions[[#This Row],[churned]]="Yes",1,0)</f>
        <v>1</v>
      </c>
      <c r="M399" s="2">
        <v>45068</v>
      </c>
      <c r="N399" s="1" t="s">
        <v>25</v>
      </c>
      <c r="O399">
        <v>9</v>
      </c>
      <c r="P399">
        <v>6</v>
      </c>
      <c r="Q399">
        <v>44</v>
      </c>
      <c r="R399" s="1" t="s">
        <v>26</v>
      </c>
    </row>
    <row r="400" spans="1:18" x14ac:dyDescent="0.35">
      <c r="A400" s="1" t="s">
        <v>456</v>
      </c>
      <c r="B400" s="1" t="s">
        <v>37</v>
      </c>
      <c r="C400" s="1" t="s">
        <v>28</v>
      </c>
      <c r="D400" s="1" t="s">
        <v>38</v>
      </c>
      <c r="E400" s="1" t="s">
        <v>48</v>
      </c>
      <c r="F400">
        <v>86</v>
      </c>
      <c r="G400">
        <v>2325.81</v>
      </c>
      <c r="H400" s="1" t="s">
        <v>63</v>
      </c>
      <c r="I400" s="1" t="s">
        <v>23</v>
      </c>
      <c r="J400" s="2">
        <v>45209</v>
      </c>
      <c r="K400" s="1" t="s">
        <v>24</v>
      </c>
      <c r="L400" s="1">
        <f>IF(Subscriptions[[#This Row],[churned]]="Yes",1,0)</f>
        <v>1</v>
      </c>
      <c r="M400" s="2">
        <v>45984</v>
      </c>
      <c r="N400" s="1" t="s">
        <v>53</v>
      </c>
      <c r="O400">
        <v>0</v>
      </c>
      <c r="P400">
        <v>2</v>
      </c>
      <c r="Q400">
        <v>11</v>
      </c>
      <c r="R400" s="1" t="s">
        <v>26</v>
      </c>
    </row>
    <row r="401" spans="1:18" x14ac:dyDescent="0.35">
      <c r="A401" s="1" t="s">
        <v>457</v>
      </c>
      <c r="B401" s="1" t="s">
        <v>32</v>
      </c>
      <c r="C401" s="1" t="s">
        <v>28</v>
      </c>
      <c r="D401" s="1" t="s">
        <v>65</v>
      </c>
      <c r="E401" s="1" t="s">
        <v>45</v>
      </c>
      <c r="F401">
        <v>5</v>
      </c>
      <c r="G401">
        <v>39.44</v>
      </c>
      <c r="H401" s="1" t="s">
        <v>35</v>
      </c>
      <c r="I401" s="1" t="s">
        <v>23</v>
      </c>
      <c r="J401" s="2">
        <v>44771</v>
      </c>
      <c r="K401" s="1" t="s">
        <v>24</v>
      </c>
      <c r="L401" s="1">
        <f>IF(Subscriptions[[#This Row],[churned]]="Yes",1,0)</f>
        <v>1</v>
      </c>
      <c r="M401" s="2">
        <v>45492</v>
      </c>
      <c r="N401" s="1" t="s">
        <v>56</v>
      </c>
      <c r="O401">
        <v>3</v>
      </c>
      <c r="P401">
        <v>1</v>
      </c>
      <c r="Q401">
        <v>34</v>
      </c>
      <c r="R401" s="1" t="s">
        <v>26</v>
      </c>
    </row>
    <row r="402" spans="1:18" x14ac:dyDescent="0.35">
      <c r="A402" s="1" t="s">
        <v>458</v>
      </c>
      <c r="B402" s="1" t="s">
        <v>37</v>
      </c>
      <c r="C402" s="1" t="s">
        <v>28</v>
      </c>
      <c r="D402" s="1" t="s">
        <v>55</v>
      </c>
      <c r="E402" s="1" t="s">
        <v>45</v>
      </c>
      <c r="F402">
        <v>7</v>
      </c>
      <c r="G402">
        <v>321.38</v>
      </c>
      <c r="H402" s="1" t="s">
        <v>22</v>
      </c>
      <c r="I402" s="1" t="s">
        <v>23</v>
      </c>
      <c r="J402" s="2">
        <v>45602</v>
      </c>
      <c r="K402" s="1" t="s">
        <v>26</v>
      </c>
      <c r="L402" s="1">
        <f>IF(Subscriptions[[#This Row],[churned]]="Yes",1,0)</f>
        <v>0</v>
      </c>
      <c r="M402" s="2"/>
      <c r="N402" s="1" t="s">
        <v>30</v>
      </c>
      <c r="O402">
        <v>9</v>
      </c>
      <c r="P402">
        <v>9</v>
      </c>
      <c r="Q402">
        <v>30</v>
      </c>
      <c r="R402" s="1" t="s">
        <v>26</v>
      </c>
    </row>
    <row r="403" spans="1:18" x14ac:dyDescent="0.35">
      <c r="A403" s="1" t="s">
        <v>459</v>
      </c>
      <c r="B403" s="1" t="s">
        <v>18</v>
      </c>
      <c r="C403" s="1" t="s">
        <v>28</v>
      </c>
      <c r="D403" s="1" t="s">
        <v>52</v>
      </c>
      <c r="E403" s="1" t="s">
        <v>21</v>
      </c>
      <c r="F403">
        <v>34</v>
      </c>
      <c r="G403">
        <v>399.54</v>
      </c>
      <c r="H403" s="1" t="s">
        <v>46</v>
      </c>
      <c r="I403" s="1" t="s">
        <v>40</v>
      </c>
      <c r="J403" s="2">
        <v>44655</v>
      </c>
      <c r="K403" s="1" t="s">
        <v>24</v>
      </c>
      <c r="L403" s="1">
        <f>IF(Subscriptions[[#This Row],[churned]]="Yes",1,0)</f>
        <v>1</v>
      </c>
      <c r="M403" s="2">
        <v>45528</v>
      </c>
      <c r="N403" s="1" t="s">
        <v>59</v>
      </c>
      <c r="O403">
        <v>14</v>
      </c>
      <c r="P403">
        <v>1</v>
      </c>
      <c r="Q403">
        <v>34</v>
      </c>
      <c r="R403" s="1" t="s">
        <v>26</v>
      </c>
    </row>
    <row r="404" spans="1:18" x14ac:dyDescent="0.35">
      <c r="A404" s="1" t="s">
        <v>460</v>
      </c>
      <c r="B404" s="1" t="s">
        <v>37</v>
      </c>
      <c r="C404" s="1" t="s">
        <v>19</v>
      </c>
      <c r="D404" s="1" t="s">
        <v>82</v>
      </c>
      <c r="E404" s="1" t="s">
        <v>45</v>
      </c>
      <c r="F404">
        <v>8</v>
      </c>
      <c r="G404">
        <v>407.95</v>
      </c>
      <c r="H404" s="1" t="s">
        <v>22</v>
      </c>
      <c r="I404" s="1" t="s">
        <v>23</v>
      </c>
      <c r="J404" s="2">
        <v>44948</v>
      </c>
      <c r="K404" s="1" t="s">
        <v>24</v>
      </c>
      <c r="L404" s="1">
        <f>IF(Subscriptions[[#This Row],[churned]]="Yes",1,0)</f>
        <v>1</v>
      </c>
      <c r="M404" s="2">
        <v>45531</v>
      </c>
      <c r="N404" s="1" t="s">
        <v>49</v>
      </c>
      <c r="O404">
        <v>13</v>
      </c>
      <c r="P404">
        <v>5</v>
      </c>
      <c r="Q404">
        <v>25</v>
      </c>
      <c r="R404" s="1" t="s">
        <v>26</v>
      </c>
    </row>
    <row r="405" spans="1:18" x14ac:dyDescent="0.35">
      <c r="A405" s="1" t="s">
        <v>461</v>
      </c>
      <c r="B405" s="1" t="s">
        <v>37</v>
      </c>
      <c r="C405" s="1" t="s">
        <v>19</v>
      </c>
      <c r="D405" s="1" t="s">
        <v>55</v>
      </c>
      <c r="E405" s="1" t="s">
        <v>21</v>
      </c>
      <c r="F405">
        <v>43</v>
      </c>
      <c r="G405">
        <v>1452.7</v>
      </c>
      <c r="H405" s="1" t="s">
        <v>35</v>
      </c>
      <c r="I405" s="1" t="s">
        <v>23</v>
      </c>
      <c r="J405" s="2">
        <v>45925</v>
      </c>
      <c r="K405" s="1" t="s">
        <v>26</v>
      </c>
      <c r="L405" s="1">
        <f>IF(Subscriptions[[#This Row],[churned]]="Yes",1,0)</f>
        <v>0</v>
      </c>
      <c r="M405" s="2"/>
      <c r="N405" s="1" t="s">
        <v>30</v>
      </c>
      <c r="O405">
        <v>4</v>
      </c>
      <c r="P405">
        <v>5</v>
      </c>
      <c r="Q405">
        <v>79</v>
      </c>
      <c r="R405" s="1" t="s">
        <v>26</v>
      </c>
    </row>
    <row r="406" spans="1:18" x14ac:dyDescent="0.35">
      <c r="A406" s="1" t="s">
        <v>462</v>
      </c>
      <c r="B406" s="1" t="s">
        <v>37</v>
      </c>
      <c r="C406" s="1" t="s">
        <v>19</v>
      </c>
      <c r="D406" s="1" t="s">
        <v>42</v>
      </c>
      <c r="E406" s="1" t="s">
        <v>39</v>
      </c>
      <c r="F406">
        <v>7</v>
      </c>
      <c r="G406">
        <v>378.1</v>
      </c>
      <c r="H406" s="1" t="s">
        <v>63</v>
      </c>
      <c r="I406" s="1" t="s">
        <v>23</v>
      </c>
      <c r="J406" s="2">
        <v>45711</v>
      </c>
      <c r="K406" s="1" t="s">
        <v>26</v>
      </c>
      <c r="L406" s="1">
        <f>IF(Subscriptions[[#This Row],[churned]]="Yes",1,0)</f>
        <v>0</v>
      </c>
      <c r="M406" s="2"/>
      <c r="N406" s="1" t="s">
        <v>30</v>
      </c>
      <c r="O406">
        <v>11</v>
      </c>
      <c r="P406">
        <v>1</v>
      </c>
      <c r="Q406">
        <v>29</v>
      </c>
      <c r="R406" s="1" t="s">
        <v>24</v>
      </c>
    </row>
    <row r="407" spans="1:18" x14ac:dyDescent="0.35">
      <c r="A407" s="1" t="s">
        <v>463</v>
      </c>
      <c r="B407" s="1" t="s">
        <v>37</v>
      </c>
      <c r="C407" s="1" t="s">
        <v>19</v>
      </c>
      <c r="D407" s="1" t="s">
        <v>20</v>
      </c>
      <c r="E407" s="1" t="s">
        <v>21</v>
      </c>
      <c r="F407">
        <v>29</v>
      </c>
      <c r="G407">
        <v>1034.8</v>
      </c>
      <c r="H407" s="1" t="s">
        <v>29</v>
      </c>
      <c r="I407" s="1" t="s">
        <v>23</v>
      </c>
      <c r="J407" s="2">
        <v>44979</v>
      </c>
      <c r="K407" s="1" t="s">
        <v>24</v>
      </c>
      <c r="L407" s="1">
        <f>IF(Subscriptions[[#This Row],[churned]]="Yes",1,0)</f>
        <v>1</v>
      </c>
      <c r="M407" s="2">
        <v>45929</v>
      </c>
      <c r="N407" s="1" t="s">
        <v>85</v>
      </c>
      <c r="O407">
        <v>14</v>
      </c>
      <c r="P407">
        <v>4</v>
      </c>
      <c r="Q407">
        <v>41</v>
      </c>
      <c r="R407" s="1" t="s">
        <v>26</v>
      </c>
    </row>
    <row r="408" spans="1:18" x14ac:dyDescent="0.35">
      <c r="A408" s="1" t="s">
        <v>464</v>
      </c>
      <c r="B408" s="1" t="s">
        <v>18</v>
      </c>
      <c r="C408" s="1" t="s">
        <v>28</v>
      </c>
      <c r="D408" s="1" t="s">
        <v>82</v>
      </c>
      <c r="E408" s="1" t="s">
        <v>34</v>
      </c>
      <c r="F408">
        <v>115</v>
      </c>
      <c r="G408">
        <v>1215.4100000000001</v>
      </c>
      <c r="H408" s="1" t="s">
        <v>46</v>
      </c>
      <c r="I408" s="1" t="s">
        <v>40</v>
      </c>
      <c r="J408" s="2">
        <v>44816</v>
      </c>
      <c r="K408" s="1" t="s">
        <v>24</v>
      </c>
      <c r="L408" s="1">
        <f>IF(Subscriptions[[#This Row],[churned]]="Yes",1,0)</f>
        <v>1</v>
      </c>
      <c r="M408" s="2">
        <v>45019</v>
      </c>
      <c r="N408" s="1" t="s">
        <v>85</v>
      </c>
      <c r="O408">
        <v>7</v>
      </c>
      <c r="P408">
        <v>4</v>
      </c>
      <c r="Q408">
        <v>48</v>
      </c>
      <c r="R408" s="1" t="s">
        <v>26</v>
      </c>
    </row>
    <row r="409" spans="1:18" x14ac:dyDescent="0.35">
      <c r="A409" s="1" t="s">
        <v>465</v>
      </c>
      <c r="B409" s="1" t="s">
        <v>32</v>
      </c>
      <c r="C409" s="1" t="s">
        <v>19</v>
      </c>
      <c r="D409" s="1" t="s">
        <v>33</v>
      </c>
      <c r="E409" s="1" t="s">
        <v>21</v>
      </c>
      <c r="F409">
        <v>75</v>
      </c>
      <c r="G409">
        <v>350.9</v>
      </c>
      <c r="H409" s="1" t="s">
        <v>63</v>
      </c>
      <c r="I409" s="1" t="s">
        <v>23</v>
      </c>
      <c r="J409" s="2">
        <v>45944</v>
      </c>
      <c r="K409" s="1" t="s">
        <v>26</v>
      </c>
      <c r="L409" s="1">
        <f>IF(Subscriptions[[#This Row],[churned]]="Yes",1,0)</f>
        <v>0</v>
      </c>
      <c r="M409" s="2"/>
      <c r="N409" s="1" t="s">
        <v>30</v>
      </c>
      <c r="O409">
        <v>10</v>
      </c>
      <c r="P409">
        <v>8</v>
      </c>
      <c r="Q409">
        <v>92</v>
      </c>
      <c r="R409" s="1" t="s">
        <v>26</v>
      </c>
    </row>
    <row r="410" spans="1:18" x14ac:dyDescent="0.35">
      <c r="A410" s="1" t="s">
        <v>466</v>
      </c>
      <c r="B410" s="1" t="s">
        <v>32</v>
      </c>
      <c r="C410" s="1" t="s">
        <v>19</v>
      </c>
      <c r="D410" s="1" t="s">
        <v>42</v>
      </c>
      <c r="E410" s="1" t="s">
        <v>45</v>
      </c>
      <c r="F410">
        <v>8</v>
      </c>
      <c r="G410">
        <v>59.45</v>
      </c>
      <c r="H410" s="1" t="s">
        <v>46</v>
      </c>
      <c r="I410" s="1" t="s">
        <v>23</v>
      </c>
      <c r="J410" s="2">
        <v>45748</v>
      </c>
      <c r="K410" s="1" t="s">
        <v>24</v>
      </c>
      <c r="L410" s="1">
        <f>IF(Subscriptions[[#This Row],[churned]]="Yes",1,0)</f>
        <v>1</v>
      </c>
      <c r="M410" s="2">
        <v>45766</v>
      </c>
      <c r="N410" s="1" t="s">
        <v>49</v>
      </c>
      <c r="O410">
        <v>11</v>
      </c>
      <c r="P410">
        <v>2</v>
      </c>
      <c r="Q410">
        <v>27</v>
      </c>
      <c r="R410" s="1" t="s">
        <v>26</v>
      </c>
    </row>
    <row r="411" spans="1:18" x14ac:dyDescent="0.35">
      <c r="A411" s="1" t="s">
        <v>467</v>
      </c>
      <c r="B411" s="1" t="s">
        <v>18</v>
      </c>
      <c r="C411" s="1" t="s">
        <v>19</v>
      </c>
      <c r="D411" s="1" t="s">
        <v>71</v>
      </c>
      <c r="E411" s="1" t="s">
        <v>48</v>
      </c>
      <c r="F411">
        <v>125</v>
      </c>
      <c r="G411">
        <v>1548.4</v>
      </c>
      <c r="H411" s="1" t="s">
        <v>46</v>
      </c>
      <c r="I411" s="1" t="s">
        <v>23</v>
      </c>
      <c r="J411" s="2">
        <v>44637</v>
      </c>
      <c r="K411" s="1" t="s">
        <v>24</v>
      </c>
      <c r="L411" s="1">
        <f>IF(Subscriptions[[#This Row],[churned]]="Yes",1,0)</f>
        <v>1</v>
      </c>
      <c r="M411" s="2">
        <v>45096</v>
      </c>
      <c r="N411" s="1" t="s">
        <v>25</v>
      </c>
      <c r="O411">
        <v>14</v>
      </c>
      <c r="P411">
        <v>4</v>
      </c>
      <c r="Q411">
        <v>12</v>
      </c>
      <c r="R411" s="1" t="s">
        <v>26</v>
      </c>
    </row>
    <row r="412" spans="1:18" x14ac:dyDescent="0.35">
      <c r="A412" s="1" t="s">
        <v>468</v>
      </c>
      <c r="B412" s="1" t="s">
        <v>18</v>
      </c>
      <c r="C412" s="1" t="s">
        <v>19</v>
      </c>
      <c r="D412" s="1" t="s">
        <v>33</v>
      </c>
      <c r="E412" s="1" t="s">
        <v>48</v>
      </c>
      <c r="F412">
        <v>92</v>
      </c>
      <c r="G412">
        <v>1157.3499999999999</v>
      </c>
      <c r="H412" s="1" t="s">
        <v>63</v>
      </c>
      <c r="I412" s="1" t="s">
        <v>40</v>
      </c>
      <c r="J412" s="2">
        <v>45532</v>
      </c>
      <c r="K412" s="1" t="s">
        <v>24</v>
      </c>
      <c r="L412" s="1">
        <f>IF(Subscriptions[[#This Row],[churned]]="Yes",1,0)</f>
        <v>1</v>
      </c>
      <c r="M412" s="2">
        <v>45932</v>
      </c>
      <c r="N412" s="1" t="s">
        <v>25</v>
      </c>
      <c r="O412">
        <v>13</v>
      </c>
      <c r="P412">
        <v>1</v>
      </c>
      <c r="Q412">
        <v>18</v>
      </c>
      <c r="R412" s="1" t="s">
        <v>26</v>
      </c>
    </row>
    <row r="413" spans="1:18" x14ac:dyDescent="0.35">
      <c r="A413" s="1" t="s">
        <v>469</v>
      </c>
      <c r="B413" s="1" t="s">
        <v>18</v>
      </c>
      <c r="C413" s="1" t="s">
        <v>19</v>
      </c>
      <c r="D413" s="1" t="s">
        <v>55</v>
      </c>
      <c r="E413" s="1" t="s">
        <v>21</v>
      </c>
      <c r="F413">
        <v>45</v>
      </c>
      <c r="G413">
        <v>600.4</v>
      </c>
      <c r="H413" s="1" t="s">
        <v>63</v>
      </c>
      <c r="I413" s="1" t="s">
        <v>23</v>
      </c>
      <c r="J413" s="2">
        <v>44890</v>
      </c>
      <c r="K413" s="1" t="s">
        <v>24</v>
      </c>
      <c r="L413" s="1">
        <f>IF(Subscriptions[[#This Row],[churned]]="Yes",1,0)</f>
        <v>1</v>
      </c>
      <c r="M413" s="2">
        <v>45071</v>
      </c>
      <c r="N413" s="1" t="s">
        <v>66</v>
      </c>
      <c r="O413">
        <v>8</v>
      </c>
      <c r="P413">
        <v>4</v>
      </c>
      <c r="Q413">
        <v>24</v>
      </c>
      <c r="R413" s="1" t="s">
        <v>26</v>
      </c>
    </row>
    <row r="414" spans="1:18" x14ac:dyDescent="0.35">
      <c r="A414" s="1" t="s">
        <v>470</v>
      </c>
      <c r="B414" s="1" t="s">
        <v>37</v>
      </c>
      <c r="C414" s="1" t="s">
        <v>28</v>
      </c>
      <c r="D414" s="1" t="s">
        <v>38</v>
      </c>
      <c r="E414" s="1" t="s">
        <v>48</v>
      </c>
      <c r="F414">
        <v>49</v>
      </c>
      <c r="G414">
        <v>1387.03</v>
      </c>
      <c r="H414" s="1" t="s">
        <v>35</v>
      </c>
      <c r="I414" s="1" t="s">
        <v>58</v>
      </c>
      <c r="J414" s="2">
        <v>44847</v>
      </c>
      <c r="K414" s="1" t="s">
        <v>26</v>
      </c>
      <c r="L414" s="1">
        <f>IF(Subscriptions[[#This Row],[churned]]="Yes",1,0)</f>
        <v>0</v>
      </c>
      <c r="M414" s="2"/>
      <c r="N414" s="1" t="s">
        <v>30</v>
      </c>
      <c r="O414">
        <v>0</v>
      </c>
      <c r="P414">
        <v>9</v>
      </c>
      <c r="Q414">
        <v>95</v>
      </c>
      <c r="R414" s="1" t="s">
        <v>26</v>
      </c>
    </row>
    <row r="415" spans="1:18" x14ac:dyDescent="0.35">
      <c r="A415" s="1" t="s">
        <v>471</v>
      </c>
      <c r="B415" s="1" t="s">
        <v>37</v>
      </c>
      <c r="C415" s="1" t="s">
        <v>19</v>
      </c>
      <c r="D415" s="1" t="s">
        <v>38</v>
      </c>
      <c r="E415" s="1" t="s">
        <v>48</v>
      </c>
      <c r="F415">
        <v>137</v>
      </c>
      <c r="G415">
        <v>4258.6000000000004</v>
      </c>
      <c r="H415" s="1" t="s">
        <v>46</v>
      </c>
      <c r="I415" s="1" t="s">
        <v>58</v>
      </c>
      <c r="J415" s="2">
        <v>45130</v>
      </c>
      <c r="K415" s="1" t="s">
        <v>24</v>
      </c>
      <c r="L415" s="1">
        <f>IF(Subscriptions[[#This Row],[churned]]="Yes",1,0)</f>
        <v>1</v>
      </c>
      <c r="M415" s="2">
        <v>45516</v>
      </c>
      <c r="N415" s="1" t="s">
        <v>85</v>
      </c>
      <c r="O415">
        <v>15</v>
      </c>
      <c r="P415">
        <v>1</v>
      </c>
      <c r="Q415">
        <v>25</v>
      </c>
      <c r="R415" s="1" t="s">
        <v>26</v>
      </c>
    </row>
    <row r="416" spans="1:18" x14ac:dyDescent="0.35">
      <c r="A416" s="1" t="s">
        <v>472</v>
      </c>
      <c r="B416" s="1" t="s">
        <v>32</v>
      </c>
      <c r="C416" s="1" t="s">
        <v>19</v>
      </c>
      <c r="D416" s="1" t="s">
        <v>20</v>
      </c>
      <c r="E416" s="1" t="s">
        <v>39</v>
      </c>
      <c r="F416">
        <v>13</v>
      </c>
      <c r="G416">
        <v>81.2</v>
      </c>
      <c r="H416" s="1" t="s">
        <v>101</v>
      </c>
      <c r="I416" s="1" t="s">
        <v>40</v>
      </c>
      <c r="J416" s="2">
        <v>45543</v>
      </c>
      <c r="K416" s="1" t="s">
        <v>24</v>
      </c>
      <c r="L416" s="1">
        <f>IF(Subscriptions[[#This Row],[churned]]="Yes",1,0)</f>
        <v>1</v>
      </c>
      <c r="M416" s="2">
        <v>45580</v>
      </c>
      <c r="N416" s="1" t="s">
        <v>53</v>
      </c>
      <c r="O416">
        <v>7</v>
      </c>
      <c r="P416">
        <v>3</v>
      </c>
      <c r="Q416">
        <v>45</v>
      </c>
      <c r="R416" s="1" t="s">
        <v>26</v>
      </c>
    </row>
    <row r="417" spans="1:18" x14ac:dyDescent="0.35">
      <c r="A417" s="1" t="s">
        <v>473</v>
      </c>
      <c r="B417" s="1" t="s">
        <v>37</v>
      </c>
      <c r="C417" s="1" t="s">
        <v>28</v>
      </c>
      <c r="D417" s="1" t="s">
        <v>42</v>
      </c>
      <c r="E417" s="1" t="s">
        <v>39</v>
      </c>
      <c r="F417">
        <v>14</v>
      </c>
      <c r="G417">
        <v>498.99</v>
      </c>
      <c r="H417" s="1" t="s">
        <v>101</v>
      </c>
      <c r="I417" s="1" t="s">
        <v>40</v>
      </c>
      <c r="J417" s="2">
        <v>45706</v>
      </c>
      <c r="K417" s="1" t="s">
        <v>24</v>
      </c>
      <c r="L417" s="1">
        <f>IF(Subscriptions[[#This Row],[churned]]="Yes",1,0)</f>
        <v>1</v>
      </c>
      <c r="M417" s="2">
        <v>45795</v>
      </c>
      <c r="N417" s="1" t="s">
        <v>85</v>
      </c>
      <c r="O417">
        <v>13</v>
      </c>
      <c r="P417">
        <v>1</v>
      </c>
      <c r="Q417">
        <v>33</v>
      </c>
      <c r="R417" s="1" t="s">
        <v>26</v>
      </c>
    </row>
    <row r="418" spans="1:18" x14ac:dyDescent="0.35">
      <c r="A418" s="1" t="s">
        <v>474</v>
      </c>
      <c r="B418" s="1" t="s">
        <v>32</v>
      </c>
      <c r="C418" s="1" t="s">
        <v>28</v>
      </c>
      <c r="D418" s="1" t="s">
        <v>38</v>
      </c>
      <c r="E418" s="1" t="s">
        <v>39</v>
      </c>
      <c r="F418">
        <v>18</v>
      </c>
      <c r="G418">
        <v>87.51</v>
      </c>
      <c r="H418" s="1" t="s">
        <v>22</v>
      </c>
      <c r="I418" s="1" t="s">
        <v>72</v>
      </c>
      <c r="J418" s="2">
        <v>45521</v>
      </c>
      <c r="K418" s="1" t="s">
        <v>24</v>
      </c>
      <c r="L418" s="1">
        <f>IF(Subscriptions[[#This Row],[churned]]="Yes",1,0)</f>
        <v>1</v>
      </c>
      <c r="M418" s="2">
        <v>45595</v>
      </c>
      <c r="N418" s="1" t="s">
        <v>25</v>
      </c>
      <c r="O418">
        <v>10</v>
      </c>
      <c r="P418">
        <v>1</v>
      </c>
      <c r="Q418">
        <v>36</v>
      </c>
      <c r="R418" s="1" t="s">
        <v>26</v>
      </c>
    </row>
    <row r="419" spans="1:18" x14ac:dyDescent="0.35">
      <c r="A419" s="1" t="s">
        <v>475</v>
      </c>
      <c r="B419" s="1" t="s">
        <v>32</v>
      </c>
      <c r="C419" s="1" t="s">
        <v>19</v>
      </c>
      <c r="D419" s="1" t="s">
        <v>82</v>
      </c>
      <c r="E419" s="1" t="s">
        <v>45</v>
      </c>
      <c r="F419">
        <v>2</v>
      </c>
      <c r="G419">
        <v>33.35</v>
      </c>
      <c r="H419" s="1" t="s">
        <v>101</v>
      </c>
      <c r="I419" s="1" t="s">
        <v>72</v>
      </c>
      <c r="J419" s="2">
        <v>44839</v>
      </c>
      <c r="K419" s="1" t="s">
        <v>24</v>
      </c>
      <c r="L419" s="1">
        <f>IF(Subscriptions[[#This Row],[churned]]="Yes",1,0)</f>
        <v>1</v>
      </c>
      <c r="M419" s="2">
        <v>45110</v>
      </c>
      <c r="N419" s="1" t="s">
        <v>53</v>
      </c>
      <c r="O419">
        <v>11</v>
      </c>
      <c r="P419">
        <v>1</v>
      </c>
      <c r="Q419">
        <v>37</v>
      </c>
      <c r="R419" s="1" t="s">
        <v>26</v>
      </c>
    </row>
    <row r="420" spans="1:18" x14ac:dyDescent="0.35">
      <c r="A420" s="1" t="s">
        <v>476</v>
      </c>
      <c r="B420" s="1" t="s">
        <v>18</v>
      </c>
      <c r="C420" s="1" t="s">
        <v>28</v>
      </c>
      <c r="D420" s="1" t="s">
        <v>42</v>
      </c>
      <c r="E420" s="1" t="s">
        <v>48</v>
      </c>
      <c r="F420">
        <v>143</v>
      </c>
      <c r="G420">
        <v>1497.45</v>
      </c>
      <c r="H420" s="1" t="s">
        <v>22</v>
      </c>
      <c r="I420" s="1" t="s">
        <v>40</v>
      </c>
      <c r="J420" s="2">
        <v>44655</v>
      </c>
      <c r="K420" s="1" t="s">
        <v>26</v>
      </c>
      <c r="L420" s="1">
        <f>IF(Subscriptions[[#This Row],[churned]]="Yes",1,0)</f>
        <v>0</v>
      </c>
      <c r="M420" s="2"/>
      <c r="N420" s="1" t="s">
        <v>30</v>
      </c>
      <c r="O420">
        <v>2</v>
      </c>
      <c r="P420">
        <v>9</v>
      </c>
      <c r="Q420">
        <v>29</v>
      </c>
      <c r="R420" s="1" t="s">
        <v>24</v>
      </c>
    </row>
    <row r="421" spans="1:18" x14ac:dyDescent="0.35">
      <c r="A421" s="1" t="s">
        <v>477</v>
      </c>
      <c r="B421" s="1" t="s">
        <v>18</v>
      </c>
      <c r="C421" s="1" t="s">
        <v>19</v>
      </c>
      <c r="D421" s="1" t="s">
        <v>20</v>
      </c>
      <c r="E421" s="1" t="s">
        <v>45</v>
      </c>
      <c r="F421">
        <v>8</v>
      </c>
      <c r="G421">
        <v>161.94999999999999</v>
      </c>
      <c r="H421" s="1" t="s">
        <v>46</v>
      </c>
      <c r="I421" s="1" t="s">
        <v>23</v>
      </c>
      <c r="J421" s="2">
        <v>44627</v>
      </c>
      <c r="K421" s="1" t="s">
        <v>24</v>
      </c>
      <c r="L421" s="1">
        <f>IF(Subscriptions[[#This Row],[churned]]="Yes",1,0)</f>
        <v>1</v>
      </c>
      <c r="M421" s="2">
        <v>45349</v>
      </c>
      <c r="N421" s="1" t="s">
        <v>85</v>
      </c>
      <c r="O421">
        <v>7</v>
      </c>
      <c r="P421">
        <v>2</v>
      </c>
      <c r="Q421">
        <v>10</v>
      </c>
      <c r="R421" s="1" t="s">
        <v>26</v>
      </c>
    </row>
    <row r="422" spans="1:18" x14ac:dyDescent="0.35">
      <c r="A422" s="1" t="s">
        <v>478</v>
      </c>
      <c r="B422" s="1" t="s">
        <v>18</v>
      </c>
      <c r="C422" s="1" t="s">
        <v>19</v>
      </c>
      <c r="D422" s="1" t="s">
        <v>42</v>
      </c>
      <c r="E422" s="1" t="s">
        <v>34</v>
      </c>
      <c r="F422">
        <v>185</v>
      </c>
      <c r="G422">
        <v>2259.4</v>
      </c>
      <c r="H422" s="1" t="s">
        <v>63</v>
      </c>
      <c r="I422" s="1" t="s">
        <v>23</v>
      </c>
      <c r="J422" s="2">
        <v>44830</v>
      </c>
      <c r="K422" s="1" t="s">
        <v>24</v>
      </c>
      <c r="L422" s="1">
        <f>IF(Subscriptions[[#This Row],[churned]]="Yes",1,0)</f>
        <v>1</v>
      </c>
      <c r="M422" s="2">
        <v>44953</v>
      </c>
      <c r="N422" s="1" t="s">
        <v>49</v>
      </c>
      <c r="O422">
        <v>10</v>
      </c>
      <c r="P422">
        <v>6</v>
      </c>
      <c r="Q422">
        <v>29</v>
      </c>
      <c r="R422" s="1" t="s">
        <v>26</v>
      </c>
    </row>
    <row r="423" spans="1:18" x14ac:dyDescent="0.35">
      <c r="A423" s="1" t="s">
        <v>479</v>
      </c>
      <c r="B423" s="1" t="s">
        <v>18</v>
      </c>
      <c r="C423" s="1" t="s">
        <v>19</v>
      </c>
      <c r="D423" s="1" t="s">
        <v>82</v>
      </c>
      <c r="E423" s="1" t="s">
        <v>21</v>
      </c>
      <c r="F423">
        <v>59</v>
      </c>
      <c r="G423">
        <v>766.3</v>
      </c>
      <c r="H423" s="1" t="s">
        <v>101</v>
      </c>
      <c r="I423" s="1" t="s">
        <v>23</v>
      </c>
      <c r="J423" s="2">
        <v>45030</v>
      </c>
      <c r="K423" s="1" t="s">
        <v>26</v>
      </c>
      <c r="L423" s="1">
        <f>IF(Subscriptions[[#This Row],[churned]]="Yes",1,0)</f>
        <v>0</v>
      </c>
      <c r="M423" s="2"/>
      <c r="N423" s="1" t="s">
        <v>30</v>
      </c>
      <c r="O423">
        <v>3</v>
      </c>
      <c r="P423">
        <v>7</v>
      </c>
      <c r="Q423">
        <v>92</v>
      </c>
      <c r="R423" s="1" t="s">
        <v>24</v>
      </c>
    </row>
    <row r="424" spans="1:18" x14ac:dyDescent="0.35">
      <c r="A424" s="1" t="s">
        <v>480</v>
      </c>
      <c r="B424" s="1" t="s">
        <v>32</v>
      </c>
      <c r="C424" s="1" t="s">
        <v>19</v>
      </c>
      <c r="D424" s="1" t="s">
        <v>42</v>
      </c>
      <c r="E424" s="1" t="s">
        <v>39</v>
      </c>
      <c r="F424">
        <v>15</v>
      </c>
      <c r="G424">
        <v>89.9</v>
      </c>
      <c r="H424" s="1" t="s">
        <v>46</v>
      </c>
      <c r="I424" s="1" t="s">
        <v>40</v>
      </c>
      <c r="J424" s="2">
        <v>45228</v>
      </c>
      <c r="K424" s="1" t="s">
        <v>24</v>
      </c>
      <c r="L424" s="1">
        <f>IF(Subscriptions[[#This Row],[churned]]="Yes",1,0)</f>
        <v>1</v>
      </c>
      <c r="M424" s="2">
        <v>45468</v>
      </c>
      <c r="N424" s="1" t="s">
        <v>25</v>
      </c>
      <c r="O424">
        <v>4</v>
      </c>
      <c r="P424">
        <v>5</v>
      </c>
      <c r="Q424">
        <v>20</v>
      </c>
      <c r="R424" s="1" t="s">
        <v>26</v>
      </c>
    </row>
    <row r="425" spans="1:18" x14ac:dyDescent="0.35">
      <c r="A425" s="1" t="s">
        <v>481</v>
      </c>
      <c r="B425" s="1" t="s">
        <v>32</v>
      </c>
      <c r="C425" s="1" t="s">
        <v>19</v>
      </c>
      <c r="D425" s="1" t="s">
        <v>52</v>
      </c>
      <c r="E425" s="1" t="s">
        <v>45</v>
      </c>
      <c r="F425">
        <v>5</v>
      </c>
      <c r="G425">
        <v>46.4</v>
      </c>
      <c r="H425" s="1" t="s">
        <v>46</v>
      </c>
      <c r="I425" s="1" t="s">
        <v>40</v>
      </c>
      <c r="J425" s="2">
        <v>45041</v>
      </c>
      <c r="K425" s="1" t="s">
        <v>24</v>
      </c>
      <c r="L425" s="1">
        <f>IF(Subscriptions[[#This Row],[churned]]="Yes",1,0)</f>
        <v>1</v>
      </c>
      <c r="M425" s="2">
        <v>45525</v>
      </c>
      <c r="N425" s="1" t="s">
        <v>56</v>
      </c>
      <c r="O425">
        <v>11</v>
      </c>
      <c r="P425">
        <v>6</v>
      </c>
      <c r="Q425">
        <v>50</v>
      </c>
      <c r="R425" s="1" t="s">
        <v>26</v>
      </c>
    </row>
    <row r="426" spans="1:18" x14ac:dyDescent="0.35">
      <c r="A426" s="1" t="s">
        <v>482</v>
      </c>
      <c r="B426" s="1" t="s">
        <v>32</v>
      </c>
      <c r="C426" s="1" t="s">
        <v>19</v>
      </c>
      <c r="D426" s="1" t="s">
        <v>44</v>
      </c>
      <c r="E426" s="1" t="s">
        <v>45</v>
      </c>
      <c r="F426">
        <v>6</v>
      </c>
      <c r="G426">
        <v>50.75</v>
      </c>
      <c r="H426" s="1" t="s">
        <v>46</v>
      </c>
      <c r="I426" s="1" t="s">
        <v>58</v>
      </c>
      <c r="J426" s="2">
        <v>45731</v>
      </c>
      <c r="K426" s="1" t="s">
        <v>24</v>
      </c>
      <c r="L426" s="1">
        <f>IF(Subscriptions[[#This Row],[churned]]="Yes",1,0)</f>
        <v>1</v>
      </c>
      <c r="M426" s="2">
        <v>45869</v>
      </c>
      <c r="N426" s="1" t="s">
        <v>66</v>
      </c>
      <c r="O426">
        <v>6</v>
      </c>
      <c r="P426">
        <v>2</v>
      </c>
      <c r="Q426">
        <v>22</v>
      </c>
      <c r="R426" s="1" t="s">
        <v>26</v>
      </c>
    </row>
    <row r="427" spans="1:18" x14ac:dyDescent="0.35">
      <c r="A427" s="1" t="s">
        <v>483</v>
      </c>
      <c r="B427" s="1" t="s">
        <v>37</v>
      </c>
      <c r="C427" s="1" t="s">
        <v>19</v>
      </c>
      <c r="D427" s="1" t="s">
        <v>65</v>
      </c>
      <c r="E427" s="1" t="s">
        <v>45</v>
      </c>
      <c r="F427">
        <v>7</v>
      </c>
      <c r="G427">
        <v>378.1</v>
      </c>
      <c r="H427" s="1" t="s">
        <v>22</v>
      </c>
      <c r="I427" s="1" t="s">
        <v>23</v>
      </c>
      <c r="J427" s="2">
        <v>45357</v>
      </c>
      <c r="K427" s="1" t="s">
        <v>26</v>
      </c>
      <c r="L427" s="1">
        <f>IF(Subscriptions[[#This Row],[churned]]="Yes",1,0)</f>
        <v>0</v>
      </c>
      <c r="M427" s="2"/>
      <c r="N427" s="1" t="s">
        <v>30</v>
      </c>
      <c r="O427">
        <v>10</v>
      </c>
      <c r="P427">
        <v>10</v>
      </c>
      <c r="Q427">
        <v>68</v>
      </c>
      <c r="R427" s="1" t="s">
        <v>24</v>
      </c>
    </row>
    <row r="428" spans="1:18" x14ac:dyDescent="0.35">
      <c r="A428" s="1" t="s">
        <v>484</v>
      </c>
      <c r="B428" s="1" t="s">
        <v>32</v>
      </c>
      <c r="C428" s="1" t="s">
        <v>28</v>
      </c>
      <c r="D428" s="1" t="s">
        <v>38</v>
      </c>
      <c r="E428" s="1" t="s">
        <v>21</v>
      </c>
      <c r="F428">
        <v>79</v>
      </c>
      <c r="G428">
        <v>313.05</v>
      </c>
      <c r="H428" s="1" t="s">
        <v>63</v>
      </c>
      <c r="I428" s="1" t="s">
        <v>72</v>
      </c>
      <c r="J428" s="2">
        <v>45651</v>
      </c>
      <c r="K428" s="1" t="s">
        <v>26</v>
      </c>
      <c r="L428" s="1">
        <f>IF(Subscriptions[[#This Row],[churned]]="Yes",1,0)</f>
        <v>0</v>
      </c>
      <c r="M428" s="2"/>
      <c r="N428" s="1" t="s">
        <v>30</v>
      </c>
      <c r="O428">
        <v>6</v>
      </c>
      <c r="P428">
        <v>7</v>
      </c>
      <c r="Q428">
        <v>37</v>
      </c>
      <c r="R428" s="1" t="s">
        <v>26</v>
      </c>
    </row>
    <row r="429" spans="1:18" x14ac:dyDescent="0.35">
      <c r="A429" s="1" t="s">
        <v>485</v>
      </c>
      <c r="B429" s="1" t="s">
        <v>32</v>
      </c>
      <c r="C429" s="1" t="s">
        <v>19</v>
      </c>
      <c r="D429" s="1" t="s">
        <v>38</v>
      </c>
      <c r="E429" s="1" t="s">
        <v>39</v>
      </c>
      <c r="F429">
        <v>11</v>
      </c>
      <c r="G429">
        <v>72.5</v>
      </c>
      <c r="H429" s="1" t="s">
        <v>22</v>
      </c>
      <c r="I429" s="1" t="s">
        <v>23</v>
      </c>
      <c r="J429" s="2">
        <v>45948</v>
      </c>
      <c r="K429" s="1" t="s">
        <v>26</v>
      </c>
      <c r="L429" s="1">
        <f>IF(Subscriptions[[#This Row],[churned]]="Yes",1,0)</f>
        <v>0</v>
      </c>
      <c r="M429" s="2"/>
      <c r="N429" s="1" t="s">
        <v>30</v>
      </c>
      <c r="O429">
        <v>1</v>
      </c>
      <c r="P429">
        <v>4</v>
      </c>
      <c r="Q429">
        <v>24</v>
      </c>
      <c r="R429" s="1" t="s">
        <v>26</v>
      </c>
    </row>
    <row r="430" spans="1:18" x14ac:dyDescent="0.35">
      <c r="A430" s="1" t="s">
        <v>486</v>
      </c>
      <c r="B430" s="1" t="s">
        <v>18</v>
      </c>
      <c r="C430" s="1" t="s">
        <v>19</v>
      </c>
      <c r="D430" s="1" t="s">
        <v>52</v>
      </c>
      <c r="E430" s="1" t="s">
        <v>39</v>
      </c>
      <c r="F430">
        <v>15</v>
      </c>
      <c r="G430">
        <v>244.9</v>
      </c>
      <c r="H430" s="1" t="s">
        <v>63</v>
      </c>
      <c r="I430" s="1" t="s">
        <v>40</v>
      </c>
      <c r="J430" s="2">
        <v>45817</v>
      </c>
      <c r="K430" s="1" t="s">
        <v>26</v>
      </c>
      <c r="L430" s="1">
        <f>IF(Subscriptions[[#This Row],[churned]]="Yes",1,0)</f>
        <v>0</v>
      </c>
      <c r="M430" s="2"/>
      <c r="N430" s="1" t="s">
        <v>30</v>
      </c>
      <c r="O430">
        <v>8</v>
      </c>
      <c r="P430">
        <v>5</v>
      </c>
      <c r="Q430">
        <v>32</v>
      </c>
      <c r="R430" s="1" t="s">
        <v>26</v>
      </c>
    </row>
    <row r="431" spans="1:18" x14ac:dyDescent="0.35">
      <c r="A431" s="1" t="s">
        <v>487</v>
      </c>
      <c r="B431" s="1" t="s">
        <v>37</v>
      </c>
      <c r="C431" s="1" t="s">
        <v>19</v>
      </c>
      <c r="D431" s="1" t="s">
        <v>65</v>
      </c>
      <c r="E431" s="1" t="s">
        <v>39</v>
      </c>
      <c r="F431">
        <v>20</v>
      </c>
      <c r="G431">
        <v>766.15</v>
      </c>
      <c r="H431" s="1" t="s">
        <v>46</v>
      </c>
      <c r="I431" s="1" t="s">
        <v>40</v>
      </c>
      <c r="J431" s="2">
        <v>45966</v>
      </c>
      <c r="K431" s="1" t="s">
        <v>26</v>
      </c>
      <c r="L431" s="1">
        <f>IF(Subscriptions[[#This Row],[churned]]="Yes",1,0)</f>
        <v>0</v>
      </c>
      <c r="M431" s="2"/>
      <c r="N431" s="1" t="s">
        <v>30</v>
      </c>
      <c r="O431">
        <v>2</v>
      </c>
      <c r="P431">
        <v>9</v>
      </c>
      <c r="Q431">
        <v>39</v>
      </c>
      <c r="R431" s="1" t="s">
        <v>26</v>
      </c>
    </row>
    <row r="432" spans="1:18" x14ac:dyDescent="0.35">
      <c r="A432" s="1" t="s">
        <v>488</v>
      </c>
      <c r="B432" s="1" t="s">
        <v>32</v>
      </c>
      <c r="C432" s="1" t="s">
        <v>28</v>
      </c>
      <c r="D432" s="1" t="s">
        <v>38</v>
      </c>
      <c r="E432" s="1" t="s">
        <v>39</v>
      </c>
      <c r="F432">
        <v>27</v>
      </c>
      <c r="G432">
        <v>120.78</v>
      </c>
      <c r="H432" s="1" t="s">
        <v>22</v>
      </c>
      <c r="I432" s="1" t="s">
        <v>58</v>
      </c>
      <c r="J432" s="2">
        <v>45933</v>
      </c>
      <c r="K432" s="1" t="s">
        <v>26</v>
      </c>
      <c r="L432" s="1">
        <f>IF(Subscriptions[[#This Row],[churned]]="Yes",1,0)</f>
        <v>0</v>
      </c>
      <c r="M432" s="2"/>
      <c r="N432" s="1" t="s">
        <v>30</v>
      </c>
      <c r="O432">
        <v>3</v>
      </c>
      <c r="P432">
        <v>8</v>
      </c>
      <c r="Q432">
        <v>22</v>
      </c>
      <c r="R432" s="1" t="s">
        <v>26</v>
      </c>
    </row>
    <row r="433" spans="1:18" x14ac:dyDescent="0.35">
      <c r="A433" s="1" t="s">
        <v>489</v>
      </c>
      <c r="B433" s="1" t="s">
        <v>18</v>
      </c>
      <c r="C433" s="1" t="s">
        <v>28</v>
      </c>
      <c r="D433" s="1" t="s">
        <v>65</v>
      </c>
      <c r="E433" s="1" t="s">
        <v>21</v>
      </c>
      <c r="F433">
        <v>28</v>
      </c>
      <c r="G433">
        <v>339.11</v>
      </c>
      <c r="H433" s="1" t="s">
        <v>22</v>
      </c>
      <c r="I433" s="1" t="s">
        <v>23</v>
      </c>
      <c r="J433" s="2">
        <v>45787</v>
      </c>
      <c r="K433" s="1" t="s">
        <v>26</v>
      </c>
      <c r="L433" s="1">
        <f>IF(Subscriptions[[#This Row],[churned]]="Yes",1,0)</f>
        <v>0</v>
      </c>
      <c r="M433" s="2"/>
      <c r="N433" s="1" t="s">
        <v>30</v>
      </c>
      <c r="O433">
        <v>2</v>
      </c>
      <c r="P433">
        <v>1</v>
      </c>
      <c r="Q433">
        <v>51</v>
      </c>
      <c r="R433" s="1" t="s">
        <v>26</v>
      </c>
    </row>
    <row r="434" spans="1:18" x14ac:dyDescent="0.35">
      <c r="A434" s="1" t="s">
        <v>490</v>
      </c>
      <c r="B434" s="1" t="s">
        <v>74</v>
      </c>
      <c r="C434" s="1" t="s">
        <v>19</v>
      </c>
      <c r="D434" s="1" t="s">
        <v>38</v>
      </c>
      <c r="E434" s="1" t="s">
        <v>39</v>
      </c>
      <c r="F434">
        <v>25</v>
      </c>
      <c r="G434">
        <v>2295.4</v>
      </c>
      <c r="H434" s="1" t="s">
        <v>22</v>
      </c>
      <c r="I434" s="1" t="s">
        <v>23</v>
      </c>
      <c r="J434" s="2">
        <v>45151</v>
      </c>
      <c r="K434" s="1" t="s">
        <v>24</v>
      </c>
      <c r="L434" s="1">
        <f>IF(Subscriptions[[#This Row],[churned]]="Yes",1,0)</f>
        <v>1</v>
      </c>
      <c r="M434" s="2">
        <v>45347</v>
      </c>
      <c r="N434" s="1" t="s">
        <v>66</v>
      </c>
      <c r="O434">
        <v>1</v>
      </c>
      <c r="P434">
        <v>1</v>
      </c>
      <c r="Q434">
        <v>34</v>
      </c>
      <c r="R434" s="1" t="s">
        <v>26</v>
      </c>
    </row>
    <row r="435" spans="1:18" x14ac:dyDescent="0.35">
      <c r="A435" s="1" t="s">
        <v>491</v>
      </c>
      <c r="B435" s="1" t="s">
        <v>32</v>
      </c>
      <c r="C435" s="1" t="s">
        <v>28</v>
      </c>
      <c r="D435" s="1" t="s">
        <v>38</v>
      </c>
      <c r="E435" s="1" t="s">
        <v>34</v>
      </c>
      <c r="F435">
        <v>222</v>
      </c>
      <c r="G435">
        <v>841.8</v>
      </c>
      <c r="H435" s="1" t="s">
        <v>46</v>
      </c>
      <c r="I435" s="1" t="s">
        <v>23</v>
      </c>
      <c r="J435" s="2">
        <v>44851</v>
      </c>
      <c r="K435" s="1" t="s">
        <v>24</v>
      </c>
      <c r="L435" s="1">
        <f>IF(Subscriptions[[#This Row],[churned]]="Yes",1,0)</f>
        <v>1</v>
      </c>
      <c r="M435" s="2">
        <v>45631</v>
      </c>
      <c r="N435" s="1" t="s">
        <v>49</v>
      </c>
      <c r="O435">
        <v>8</v>
      </c>
      <c r="P435">
        <v>2</v>
      </c>
      <c r="Q435">
        <v>47</v>
      </c>
      <c r="R435" s="1" t="s">
        <v>26</v>
      </c>
    </row>
    <row r="436" spans="1:18" x14ac:dyDescent="0.35">
      <c r="A436" s="1" t="s">
        <v>492</v>
      </c>
      <c r="B436" s="1" t="s">
        <v>32</v>
      </c>
      <c r="C436" s="1" t="s">
        <v>19</v>
      </c>
      <c r="D436" s="1" t="s">
        <v>20</v>
      </c>
      <c r="E436" s="1" t="s">
        <v>45</v>
      </c>
      <c r="F436">
        <v>4</v>
      </c>
      <c r="G436">
        <v>42.05</v>
      </c>
      <c r="H436" s="1" t="s">
        <v>46</v>
      </c>
      <c r="I436" s="1" t="s">
        <v>72</v>
      </c>
      <c r="J436" s="2">
        <v>44966</v>
      </c>
      <c r="K436" s="1" t="s">
        <v>24</v>
      </c>
      <c r="L436" s="1">
        <f>IF(Subscriptions[[#This Row],[churned]]="Yes",1,0)</f>
        <v>1</v>
      </c>
      <c r="M436" s="2">
        <v>45165</v>
      </c>
      <c r="N436" s="1" t="s">
        <v>49</v>
      </c>
      <c r="O436">
        <v>5</v>
      </c>
      <c r="P436">
        <v>3</v>
      </c>
      <c r="Q436">
        <v>10</v>
      </c>
      <c r="R436" s="1" t="s">
        <v>26</v>
      </c>
    </row>
    <row r="437" spans="1:18" x14ac:dyDescent="0.35">
      <c r="A437" s="1" t="s">
        <v>493</v>
      </c>
      <c r="B437" s="1" t="s">
        <v>37</v>
      </c>
      <c r="C437" s="1" t="s">
        <v>28</v>
      </c>
      <c r="D437" s="1" t="s">
        <v>33</v>
      </c>
      <c r="E437" s="1" t="s">
        <v>21</v>
      </c>
      <c r="F437">
        <v>48</v>
      </c>
      <c r="G437">
        <v>1361.66</v>
      </c>
      <c r="H437" s="1" t="s">
        <v>63</v>
      </c>
      <c r="I437" s="1" t="s">
        <v>72</v>
      </c>
      <c r="J437" s="2">
        <v>44906</v>
      </c>
      <c r="K437" s="1" t="s">
        <v>24</v>
      </c>
      <c r="L437" s="1">
        <f>IF(Subscriptions[[#This Row],[churned]]="Yes",1,0)</f>
        <v>1</v>
      </c>
      <c r="M437" s="2">
        <v>45600</v>
      </c>
      <c r="N437" s="1" t="s">
        <v>59</v>
      </c>
      <c r="O437">
        <v>7</v>
      </c>
      <c r="P437">
        <v>1</v>
      </c>
      <c r="Q437">
        <v>28</v>
      </c>
      <c r="R437" s="1" t="s">
        <v>26</v>
      </c>
    </row>
    <row r="438" spans="1:18" x14ac:dyDescent="0.35">
      <c r="A438" s="1" t="s">
        <v>494</v>
      </c>
      <c r="B438" s="1" t="s">
        <v>32</v>
      </c>
      <c r="C438" s="1" t="s">
        <v>19</v>
      </c>
      <c r="D438" s="1" t="s">
        <v>65</v>
      </c>
      <c r="E438" s="1" t="s">
        <v>39</v>
      </c>
      <c r="F438">
        <v>6</v>
      </c>
      <c r="G438">
        <v>50.75</v>
      </c>
      <c r="H438" s="1" t="s">
        <v>46</v>
      </c>
      <c r="I438" s="1" t="s">
        <v>58</v>
      </c>
      <c r="J438" s="2">
        <v>45026</v>
      </c>
      <c r="K438" s="1" t="s">
        <v>24</v>
      </c>
      <c r="L438" s="1">
        <f>IF(Subscriptions[[#This Row],[churned]]="Yes",1,0)</f>
        <v>1</v>
      </c>
      <c r="M438" s="2">
        <v>45086</v>
      </c>
      <c r="N438" s="1" t="s">
        <v>49</v>
      </c>
      <c r="O438">
        <v>5</v>
      </c>
      <c r="P438">
        <v>3</v>
      </c>
      <c r="Q438">
        <v>18</v>
      </c>
      <c r="R438" s="1" t="s">
        <v>26</v>
      </c>
    </row>
    <row r="439" spans="1:18" x14ac:dyDescent="0.35">
      <c r="A439" s="1" t="s">
        <v>495</v>
      </c>
      <c r="B439" s="1" t="s">
        <v>32</v>
      </c>
      <c r="C439" s="1" t="s">
        <v>28</v>
      </c>
      <c r="D439" s="1" t="s">
        <v>44</v>
      </c>
      <c r="E439" s="1" t="s">
        <v>21</v>
      </c>
      <c r="F439">
        <v>44</v>
      </c>
      <c r="G439">
        <v>183.64</v>
      </c>
      <c r="H439" s="1" t="s">
        <v>63</v>
      </c>
      <c r="I439" s="1" t="s">
        <v>40</v>
      </c>
      <c r="J439" s="2">
        <v>45597</v>
      </c>
      <c r="K439" s="1" t="s">
        <v>24</v>
      </c>
      <c r="L439" s="1">
        <f>IF(Subscriptions[[#This Row],[churned]]="Yes",1,0)</f>
        <v>1</v>
      </c>
      <c r="M439" s="2">
        <v>45599</v>
      </c>
      <c r="N439" s="1" t="s">
        <v>25</v>
      </c>
      <c r="O439">
        <v>5</v>
      </c>
      <c r="P439">
        <v>6</v>
      </c>
      <c r="Q439">
        <v>31</v>
      </c>
      <c r="R439" s="1" t="s">
        <v>26</v>
      </c>
    </row>
    <row r="440" spans="1:18" x14ac:dyDescent="0.35">
      <c r="A440" s="1" t="s">
        <v>496</v>
      </c>
      <c r="B440" s="1" t="s">
        <v>37</v>
      </c>
      <c r="C440" s="1" t="s">
        <v>19</v>
      </c>
      <c r="D440" s="1" t="s">
        <v>82</v>
      </c>
      <c r="E440" s="1" t="s">
        <v>34</v>
      </c>
      <c r="F440">
        <v>62</v>
      </c>
      <c r="G440">
        <v>2019.85</v>
      </c>
      <c r="H440" s="1" t="s">
        <v>29</v>
      </c>
      <c r="I440" s="1" t="s">
        <v>40</v>
      </c>
      <c r="J440" s="2">
        <v>45816</v>
      </c>
      <c r="K440" s="1" t="s">
        <v>24</v>
      </c>
      <c r="L440" s="1">
        <f>IF(Subscriptions[[#This Row],[churned]]="Yes",1,0)</f>
        <v>1</v>
      </c>
      <c r="M440" s="2">
        <v>45856</v>
      </c>
      <c r="N440" s="1" t="s">
        <v>59</v>
      </c>
      <c r="O440">
        <v>9</v>
      </c>
      <c r="P440">
        <v>4</v>
      </c>
      <c r="Q440">
        <v>34</v>
      </c>
      <c r="R440" s="1" t="s">
        <v>26</v>
      </c>
    </row>
    <row r="441" spans="1:18" x14ac:dyDescent="0.35">
      <c r="A441" s="1" t="s">
        <v>497</v>
      </c>
      <c r="B441" s="1" t="s">
        <v>37</v>
      </c>
      <c r="C441" s="1" t="s">
        <v>28</v>
      </c>
      <c r="D441" s="1" t="s">
        <v>55</v>
      </c>
      <c r="E441" s="1" t="s">
        <v>45</v>
      </c>
      <c r="F441">
        <v>8</v>
      </c>
      <c r="G441">
        <v>346.76</v>
      </c>
      <c r="H441" s="1" t="s">
        <v>46</v>
      </c>
      <c r="I441" s="1" t="s">
        <v>72</v>
      </c>
      <c r="J441" s="2">
        <v>45992</v>
      </c>
      <c r="K441" s="1" t="s">
        <v>26</v>
      </c>
      <c r="L441" s="1">
        <f>IF(Subscriptions[[#This Row],[churned]]="Yes",1,0)</f>
        <v>0</v>
      </c>
      <c r="M441" s="2"/>
      <c r="N441" s="1" t="s">
        <v>30</v>
      </c>
      <c r="O441">
        <v>1</v>
      </c>
      <c r="P441">
        <v>10</v>
      </c>
      <c r="Q441">
        <v>50</v>
      </c>
      <c r="R441" s="1" t="s">
        <v>26</v>
      </c>
    </row>
    <row r="442" spans="1:18" x14ac:dyDescent="0.35">
      <c r="A442" s="1" t="s">
        <v>498</v>
      </c>
      <c r="B442" s="1" t="s">
        <v>18</v>
      </c>
      <c r="C442" s="1" t="s">
        <v>28</v>
      </c>
      <c r="D442" s="1" t="s">
        <v>38</v>
      </c>
      <c r="E442" s="1" t="s">
        <v>48</v>
      </c>
      <c r="F442">
        <v>88</v>
      </c>
      <c r="G442">
        <v>943.46</v>
      </c>
      <c r="H442" s="1" t="s">
        <v>63</v>
      </c>
      <c r="I442" s="1" t="s">
        <v>23</v>
      </c>
      <c r="J442" s="2">
        <v>45151</v>
      </c>
      <c r="K442" s="1" t="s">
        <v>24</v>
      </c>
      <c r="L442" s="1">
        <f>IF(Subscriptions[[#This Row],[churned]]="Yes",1,0)</f>
        <v>1</v>
      </c>
      <c r="M442" s="2">
        <v>45308</v>
      </c>
      <c r="N442" s="1" t="s">
        <v>53</v>
      </c>
      <c r="O442">
        <v>8</v>
      </c>
      <c r="P442">
        <v>4</v>
      </c>
      <c r="Q442">
        <v>44</v>
      </c>
      <c r="R442" s="1" t="s">
        <v>26</v>
      </c>
    </row>
    <row r="443" spans="1:18" x14ac:dyDescent="0.35">
      <c r="A443" s="1" t="s">
        <v>499</v>
      </c>
      <c r="B443" s="1" t="s">
        <v>37</v>
      </c>
      <c r="C443" s="1" t="s">
        <v>28</v>
      </c>
      <c r="D443" s="1" t="s">
        <v>55</v>
      </c>
      <c r="E443" s="1" t="s">
        <v>21</v>
      </c>
      <c r="F443">
        <v>54</v>
      </c>
      <c r="G443">
        <v>1513.89</v>
      </c>
      <c r="H443" s="1" t="s">
        <v>63</v>
      </c>
      <c r="I443" s="1" t="s">
        <v>58</v>
      </c>
      <c r="J443" s="2">
        <v>45387</v>
      </c>
      <c r="K443" s="1" t="s">
        <v>26</v>
      </c>
      <c r="L443" s="1">
        <f>IF(Subscriptions[[#This Row],[churned]]="Yes",1,0)</f>
        <v>0</v>
      </c>
      <c r="M443" s="2"/>
      <c r="N443" s="1" t="s">
        <v>30</v>
      </c>
      <c r="O443">
        <v>10</v>
      </c>
      <c r="P443">
        <v>10</v>
      </c>
      <c r="Q443">
        <v>33</v>
      </c>
      <c r="R443" s="1" t="s">
        <v>24</v>
      </c>
    </row>
    <row r="444" spans="1:18" x14ac:dyDescent="0.35">
      <c r="A444" s="1" t="s">
        <v>500</v>
      </c>
      <c r="B444" s="1" t="s">
        <v>18</v>
      </c>
      <c r="C444" s="1" t="s">
        <v>19</v>
      </c>
      <c r="D444" s="1" t="s">
        <v>71</v>
      </c>
      <c r="E444" s="1" t="s">
        <v>21</v>
      </c>
      <c r="F444">
        <v>58</v>
      </c>
      <c r="G444">
        <v>754.45</v>
      </c>
      <c r="H444" s="1" t="s">
        <v>22</v>
      </c>
      <c r="I444" s="1" t="s">
        <v>23</v>
      </c>
      <c r="J444" s="2">
        <v>45105</v>
      </c>
      <c r="K444" s="1" t="s">
        <v>26</v>
      </c>
      <c r="L444" s="1">
        <f>IF(Subscriptions[[#This Row],[churned]]="Yes",1,0)</f>
        <v>0</v>
      </c>
      <c r="M444" s="2"/>
      <c r="N444" s="1" t="s">
        <v>30</v>
      </c>
      <c r="O444">
        <v>11</v>
      </c>
      <c r="P444">
        <v>5</v>
      </c>
      <c r="Q444">
        <v>84</v>
      </c>
      <c r="R444" s="1" t="s">
        <v>26</v>
      </c>
    </row>
    <row r="445" spans="1:18" x14ac:dyDescent="0.35">
      <c r="A445" s="1" t="s">
        <v>501</v>
      </c>
      <c r="B445" s="1" t="s">
        <v>37</v>
      </c>
      <c r="C445" s="1" t="s">
        <v>19</v>
      </c>
      <c r="D445" s="1" t="s">
        <v>65</v>
      </c>
      <c r="E445" s="1" t="s">
        <v>45</v>
      </c>
      <c r="F445">
        <v>5</v>
      </c>
      <c r="G445">
        <v>318.39999999999998</v>
      </c>
      <c r="H445" s="1" t="s">
        <v>22</v>
      </c>
      <c r="I445" s="1" t="s">
        <v>72</v>
      </c>
      <c r="J445" s="2">
        <v>45223</v>
      </c>
      <c r="K445" s="1" t="s">
        <v>26</v>
      </c>
      <c r="L445" s="1">
        <f>IF(Subscriptions[[#This Row],[churned]]="Yes",1,0)</f>
        <v>0</v>
      </c>
      <c r="M445" s="2"/>
      <c r="N445" s="1" t="s">
        <v>30</v>
      </c>
      <c r="O445">
        <v>9</v>
      </c>
      <c r="P445">
        <v>9</v>
      </c>
      <c r="Q445">
        <v>59</v>
      </c>
      <c r="R445" s="1" t="s">
        <v>24</v>
      </c>
    </row>
    <row r="446" spans="1:18" x14ac:dyDescent="0.35">
      <c r="A446" s="1" t="s">
        <v>502</v>
      </c>
      <c r="B446" s="1" t="s">
        <v>32</v>
      </c>
      <c r="C446" s="1" t="s">
        <v>19</v>
      </c>
      <c r="D446" s="1" t="s">
        <v>38</v>
      </c>
      <c r="E446" s="1" t="s">
        <v>34</v>
      </c>
      <c r="F446">
        <v>254</v>
      </c>
      <c r="G446">
        <v>1129.55</v>
      </c>
      <c r="H446" s="1" t="s">
        <v>46</v>
      </c>
      <c r="I446" s="1" t="s">
        <v>23</v>
      </c>
      <c r="J446" s="2">
        <v>45779</v>
      </c>
      <c r="K446" s="1" t="s">
        <v>26</v>
      </c>
      <c r="L446" s="1">
        <f>IF(Subscriptions[[#This Row],[churned]]="Yes",1,0)</f>
        <v>0</v>
      </c>
      <c r="M446" s="2"/>
      <c r="N446" s="1" t="s">
        <v>30</v>
      </c>
      <c r="O446">
        <v>2</v>
      </c>
      <c r="P446">
        <v>7</v>
      </c>
      <c r="Q446">
        <v>42</v>
      </c>
      <c r="R446" s="1" t="s">
        <v>26</v>
      </c>
    </row>
    <row r="447" spans="1:18" x14ac:dyDescent="0.35">
      <c r="A447" s="1" t="s">
        <v>503</v>
      </c>
      <c r="B447" s="1" t="s">
        <v>37</v>
      </c>
      <c r="C447" s="1" t="s">
        <v>19</v>
      </c>
      <c r="D447" s="1" t="s">
        <v>44</v>
      </c>
      <c r="E447" s="1" t="s">
        <v>21</v>
      </c>
      <c r="F447">
        <v>30</v>
      </c>
      <c r="G447">
        <v>1064.6500000000001</v>
      </c>
      <c r="H447" s="1" t="s">
        <v>63</v>
      </c>
      <c r="I447" s="1" t="s">
        <v>40</v>
      </c>
      <c r="J447" s="2">
        <v>45072</v>
      </c>
      <c r="K447" s="1" t="s">
        <v>24</v>
      </c>
      <c r="L447" s="1">
        <f>IF(Subscriptions[[#This Row],[churned]]="Yes",1,0)</f>
        <v>1</v>
      </c>
      <c r="M447" s="2">
        <v>45364</v>
      </c>
      <c r="N447" s="1" t="s">
        <v>25</v>
      </c>
      <c r="O447">
        <v>10</v>
      </c>
      <c r="P447">
        <v>3</v>
      </c>
      <c r="Q447">
        <v>44</v>
      </c>
      <c r="R447" s="1" t="s">
        <v>26</v>
      </c>
    </row>
    <row r="448" spans="1:18" x14ac:dyDescent="0.35">
      <c r="A448" s="1" t="s">
        <v>504</v>
      </c>
      <c r="B448" s="1" t="s">
        <v>32</v>
      </c>
      <c r="C448" s="1" t="s">
        <v>19</v>
      </c>
      <c r="D448" s="1" t="s">
        <v>44</v>
      </c>
      <c r="E448" s="1" t="s">
        <v>45</v>
      </c>
      <c r="F448">
        <v>5</v>
      </c>
      <c r="G448">
        <v>46.4</v>
      </c>
      <c r="H448" s="1" t="s">
        <v>29</v>
      </c>
      <c r="I448" s="1" t="s">
        <v>58</v>
      </c>
      <c r="J448" s="2">
        <v>45216</v>
      </c>
      <c r="K448" s="1" t="s">
        <v>26</v>
      </c>
      <c r="L448" s="1">
        <f>IF(Subscriptions[[#This Row],[churned]]="Yes",1,0)</f>
        <v>0</v>
      </c>
      <c r="M448" s="2"/>
      <c r="N448" s="1" t="s">
        <v>30</v>
      </c>
      <c r="O448">
        <v>0</v>
      </c>
      <c r="P448">
        <v>9</v>
      </c>
      <c r="Q448">
        <v>46</v>
      </c>
      <c r="R448" s="1" t="s">
        <v>26</v>
      </c>
    </row>
    <row r="449" spans="1:18" x14ac:dyDescent="0.35">
      <c r="A449" s="1" t="s">
        <v>505</v>
      </c>
      <c r="B449" s="1" t="s">
        <v>37</v>
      </c>
      <c r="C449" s="1" t="s">
        <v>19</v>
      </c>
      <c r="D449" s="1" t="s">
        <v>65</v>
      </c>
      <c r="E449" s="1" t="s">
        <v>39</v>
      </c>
      <c r="F449">
        <v>31</v>
      </c>
      <c r="G449">
        <v>1094.5</v>
      </c>
      <c r="H449" s="1" t="s">
        <v>63</v>
      </c>
      <c r="I449" s="1" t="s">
        <v>23</v>
      </c>
      <c r="J449" s="2">
        <v>45658</v>
      </c>
      <c r="K449" s="1" t="s">
        <v>26</v>
      </c>
      <c r="L449" s="1">
        <f>IF(Subscriptions[[#This Row],[churned]]="Yes",1,0)</f>
        <v>0</v>
      </c>
      <c r="M449" s="2"/>
      <c r="N449" s="1" t="s">
        <v>30</v>
      </c>
      <c r="O449">
        <v>1</v>
      </c>
      <c r="P449">
        <v>9</v>
      </c>
      <c r="Q449">
        <v>69</v>
      </c>
      <c r="R449" s="1" t="s">
        <v>26</v>
      </c>
    </row>
    <row r="450" spans="1:18" x14ac:dyDescent="0.35">
      <c r="A450" s="1" t="s">
        <v>506</v>
      </c>
      <c r="B450" s="1" t="s">
        <v>37</v>
      </c>
      <c r="C450" s="1" t="s">
        <v>19</v>
      </c>
      <c r="D450" s="1" t="s">
        <v>55</v>
      </c>
      <c r="E450" s="1" t="s">
        <v>34</v>
      </c>
      <c r="F450">
        <v>71</v>
      </c>
      <c r="G450">
        <v>2288.5</v>
      </c>
      <c r="H450" s="1" t="s">
        <v>63</v>
      </c>
      <c r="I450" s="1" t="s">
        <v>40</v>
      </c>
      <c r="J450" s="2">
        <v>45334</v>
      </c>
      <c r="K450" s="1" t="s">
        <v>24</v>
      </c>
      <c r="L450" s="1">
        <f>IF(Subscriptions[[#This Row],[churned]]="Yes",1,0)</f>
        <v>1</v>
      </c>
      <c r="M450" s="2">
        <v>45360</v>
      </c>
      <c r="N450" s="1" t="s">
        <v>66</v>
      </c>
      <c r="O450">
        <v>7</v>
      </c>
      <c r="P450">
        <v>2</v>
      </c>
      <c r="Q450">
        <v>24</v>
      </c>
      <c r="R450" s="1" t="s">
        <v>26</v>
      </c>
    </row>
    <row r="451" spans="1:18" x14ac:dyDescent="0.35">
      <c r="A451" s="1" t="s">
        <v>507</v>
      </c>
      <c r="B451" s="1" t="s">
        <v>18</v>
      </c>
      <c r="C451" s="1" t="s">
        <v>28</v>
      </c>
      <c r="D451" s="1" t="s">
        <v>20</v>
      </c>
      <c r="E451" s="1" t="s">
        <v>39</v>
      </c>
      <c r="F451">
        <v>8</v>
      </c>
      <c r="G451">
        <v>137.66</v>
      </c>
      <c r="H451" s="1" t="s">
        <v>35</v>
      </c>
      <c r="I451" s="1" t="s">
        <v>23</v>
      </c>
      <c r="J451" s="2">
        <v>46019</v>
      </c>
      <c r="K451" s="1" t="s">
        <v>26</v>
      </c>
      <c r="L451" s="1">
        <f>IF(Subscriptions[[#This Row],[churned]]="Yes",1,0)</f>
        <v>0</v>
      </c>
      <c r="M451" s="2"/>
      <c r="N451" s="1" t="s">
        <v>30</v>
      </c>
      <c r="O451">
        <v>0</v>
      </c>
      <c r="P451">
        <v>8</v>
      </c>
      <c r="Q451">
        <v>38</v>
      </c>
      <c r="R451" s="1" t="s">
        <v>26</v>
      </c>
    </row>
    <row r="452" spans="1:18" x14ac:dyDescent="0.35">
      <c r="A452" s="1" t="s">
        <v>508</v>
      </c>
      <c r="B452" s="1" t="s">
        <v>37</v>
      </c>
      <c r="C452" s="1" t="s">
        <v>19</v>
      </c>
      <c r="D452" s="1" t="s">
        <v>71</v>
      </c>
      <c r="E452" s="1" t="s">
        <v>39</v>
      </c>
      <c r="F452">
        <v>27</v>
      </c>
      <c r="G452">
        <v>975.1</v>
      </c>
      <c r="H452" s="1" t="s">
        <v>35</v>
      </c>
      <c r="I452" s="1" t="s">
        <v>23</v>
      </c>
      <c r="J452" s="2">
        <v>44986</v>
      </c>
      <c r="K452" s="1" t="s">
        <v>26</v>
      </c>
      <c r="L452" s="1">
        <f>IF(Subscriptions[[#This Row],[churned]]="Yes",1,0)</f>
        <v>0</v>
      </c>
      <c r="M452" s="2"/>
      <c r="N452" s="1" t="s">
        <v>30</v>
      </c>
      <c r="O452">
        <v>3</v>
      </c>
      <c r="P452">
        <v>4</v>
      </c>
      <c r="Q452">
        <v>89</v>
      </c>
      <c r="R452" s="1" t="s">
        <v>26</v>
      </c>
    </row>
    <row r="453" spans="1:18" x14ac:dyDescent="0.35">
      <c r="A453" s="1" t="s">
        <v>509</v>
      </c>
      <c r="B453" s="1" t="s">
        <v>18</v>
      </c>
      <c r="C453" s="1" t="s">
        <v>19</v>
      </c>
      <c r="D453" s="1" t="s">
        <v>44</v>
      </c>
      <c r="E453" s="1" t="s">
        <v>39</v>
      </c>
      <c r="F453">
        <v>12</v>
      </c>
      <c r="G453">
        <v>209.35</v>
      </c>
      <c r="H453" s="1" t="s">
        <v>63</v>
      </c>
      <c r="I453" s="1" t="s">
        <v>23</v>
      </c>
      <c r="J453" s="2">
        <v>45821</v>
      </c>
      <c r="K453" s="1" t="s">
        <v>26</v>
      </c>
      <c r="L453" s="1">
        <f>IF(Subscriptions[[#This Row],[churned]]="Yes",1,0)</f>
        <v>0</v>
      </c>
      <c r="M453" s="2"/>
      <c r="N453" s="1" t="s">
        <v>30</v>
      </c>
      <c r="O453">
        <v>2</v>
      </c>
      <c r="P453">
        <v>7</v>
      </c>
      <c r="Q453">
        <v>82</v>
      </c>
      <c r="R453" s="1" t="s">
        <v>26</v>
      </c>
    </row>
    <row r="454" spans="1:18" x14ac:dyDescent="0.35">
      <c r="A454" s="1" t="s">
        <v>510</v>
      </c>
      <c r="B454" s="1" t="s">
        <v>32</v>
      </c>
      <c r="C454" s="1" t="s">
        <v>19</v>
      </c>
      <c r="D454" s="1" t="s">
        <v>20</v>
      </c>
      <c r="E454" s="1" t="s">
        <v>45</v>
      </c>
      <c r="F454">
        <v>1</v>
      </c>
      <c r="G454">
        <v>29</v>
      </c>
      <c r="H454" s="1" t="s">
        <v>29</v>
      </c>
      <c r="I454" s="1" t="s">
        <v>72</v>
      </c>
      <c r="J454" s="2">
        <v>45193</v>
      </c>
      <c r="K454" s="1" t="s">
        <v>24</v>
      </c>
      <c r="L454" s="1">
        <f>IF(Subscriptions[[#This Row],[churned]]="Yes",1,0)</f>
        <v>1</v>
      </c>
      <c r="M454" s="2">
        <v>45220</v>
      </c>
      <c r="N454" s="1" t="s">
        <v>59</v>
      </c>
      <c r="O454">
        <v>2</v>
      </c>
      <c r="P454">
        <v>1</v>
      </c>
      <c r="Q454">
        <v>27</v>
      </c>
      <c r="R454" s="1" t="s">
        <v>26</v>
      </c>
    </row>
    <row r="455" spans="1:18" x14ac:dyDescent="0.35">
      <c r="A455" s="1" t="s">
        <v>511</v>
      </c>
      <c r="B455" s="1" t="s">
        <v>32</v>
      </c>
      <c r="C455" s="1" t="s">
        <v>19</v>
      </c>
      <c r="D455" s="1" t="s">
        <v>52</v>
      </c>
      <c r="E455" s="1" t="s">
        <v>45</v>
      </c>
      <c r="F455">
        <v>1</v>
      </c>
      <c r="G455">
        <v>29</v>
      </c>
      <c r="H455" s="1" t="s">
        <v>63</v>
      </c>
      <c r="I455" s="1" t="s">
        <v>40</v>
      </c>
      <c r="J455" s="2">
        <v>45847</v>
      </c>
      <c r="K455" s="1" t="s">
        <v>24</v>
      </c>
      <c r="L455" s="1">
        <f>IF(Subscriptions[[#This Row],[churned]]="Yes",1,0)</f>
        <v>1</v>
      </c>
      <c r="M455" s="2">
        <v>45988</v>
      </c>
      <c r="N455" s="1" t="s">
        <v>56</v>
      </c>
      <c r="O455">
        <v>12</v>
      </c>
      <c r="P455">
        <v>3</v>
      </c>
      <c r="Q455">
        <v>49</v>
      </c>
      <c r="R455" s="1" t="s">
        <v>26</v>
      </c>
    </row>
    <row r="456" spans="1:18" x14ac:dyDescent="0.35">
      <c r="A456" s="1" t="s">
        <v>512</v>
      </c>
      <c r="B456" s="1" t="s">
        <v>32</v>
      </c>
      <c r="C456" s="1" t="s">
        <v>19</v>
      </c>
      <c r="D456" s="1" t="s">
        <v>55</v>
      </c>
      <c r="E456" s="1" t="s">
        <v>39</v>
      </c>
      <c r="F456">
        <v>8</v>
      </c>
      <c r="G456">
        <v>59.45</v>
      </c>
      <c r="H456" s="1" t="s">
        <v>22</v>
      </c>
      <c r="I456" s="1" t="s">
        <v>40</v>
      </c>
      <c r="J456" s="2">
        <v>45900</v>
      </c>
      <c r="K456" s="1" t="s">
        <v>26</v>
      </c>
      <c r="L456" s="1">
        <f>IF(Subscriptions[[#This Row],[churned]]="Yes",1,0)</f>
        <v>0</v>
      </c>
      <c r="M456" s="2"/>
      <c r="N456" s="1" t="s">
        <v>30</v>
      </c>
      <c r="O456">
        <v>4</v>
      </c>
      <c r="P456">
        <v>7</v>
      </c>
      <c r="Q456">
        <v>34</v>
      </c>
      <c r="R456" s="1" t="s">
        <v>26</v>
      </c>
    </row>
    <row r="457" spans="1:18" x14ac:dyDescent="0.35">
      <c r="A457" s="1" t="s">
        <v>513</v>
      </c>
      <c r="B457" s="1" t="s">
        <v>18</v>
      </c>
      <c r="C457" s="1" t="s">
        <v>28</v>
      </c>
      <c r="D457" s="1" t="s">
        <v>65</v>
      </c>
      <c r="E457" s="1" t="s">
        <v>45</v>
      </c>
      <c r="F457">
        <v>4</v>
      </c>
      <c r="G457">
        <v>97.37</v>
      </c>
      <c r="H457" s="1" t="s">
        <v>29</v>
      </c>
      <c r="I457" s="1" t="s">
        <v>23</v>
      </c>
      <c r="J457" s="2">
        <v>45063</v>
      </c>
      <c r="K457" s="1" t="s">
        <v>26</v>
      </c>
      <c r="L457" s="1">
        <f>IF(Subscriptions[[#This Row],[churned]]="Yes",1,0)</f>
        <v>0</v>
      </c>
      <c r="M457" s="2"/>
      <c r="N457" s="1" t="s">
        <v>30</v>
      </c>
      <c r="O457">
        <v>6</v>
      </c>
      <c r="P457">
        <v>8</v>
      </c>
      <c r="Q457">
        <v>53</v>
      </c>
      <c r="R457" s="1" t="s">
        <v>26</v>
      </c>
    </row>
    <row r="458" spans="1:18" x14ac:dyDescent="0.35">
      <c r="A458" s="1" t="s">
        <v>514</v>
      </c>
      <c r="B458" s="1" t="s">
        <v>18</v>
      </c>
      <c r="C458" s="1" t="s">
        <v>28</v>
      </c>
      <c r="D458" s="1" t="s">
        <v>71</v>
      </c>
      <c r="E458" s="1" t="s">
        <v>21</v>
      </c>
      <c r="F458">
        <v>39</v>
      </c>
      <c r="G458">
        <v>449.9</v>
      </c>
      <c r="H458" s="1" t="s">
        <v>29</v>
      </c>
      <c r="I458" s="1" t="s">
        <v>58</v>
      </c>
      <c r="J458" s="2">
        <v>45380</v>
      </c>
      <c r="K458" s="1" t="s">
        <v>26</v>
      </c>
      <c r="L458" s="1">
        <f>IF(Subscriptions[[#This Row],[churned]]="Yes",1,0)</f>
        <v>0</v>
      </c>
      <c r="M458" s="2"/>
      <c r="N458" s="1" t="s">
        <v>30</v>
      </c>
      <c r="O458">
        <v>0</v>
      </c>
      <c r="P458">
        <v>5</v>
      </c>
      <c r="Q458">
        <v>58</v>
      </c>
      <c r="R458" s="1" t="s">
        <v>26</v>
      </c>
    </row>
    <row r="459" spans="1:18" x14ac:dyDescent="0.35">
      <c r="A459" s="1" t="s">
        <v>515</v>
      </c>
      <c r="B459" s="1" t="s">
        <v>37</v>
      </c>
      <c r="C459" s="1" t="s">
        <v>28</v>
      </c>
      <c r="D459" s="1" t="s">
        <v>42</v>
      </c>
      <c r="E459" s="1" t="s">
        <v>48</v>
      </c>
      <c r="F459">
        <v>73</v>
      </c>
      <c r="G459">
        <v>1995.97</v>
      </c>
      <c r="H459" s="1" t="s">
        <v>46</v>
      </c>
      <c r="I459" s="1" t="s">
        <v>23</v>
      </c>
      <c r="J459" s="2">
        <v>45749</v>
      </c>
      <c r="K459" s="1" t="s">
        <v>26</v>
      </c>
      <c r="L459" s="1">
        <f>IF(Subscriptions[[#This Row],[churned]]="Yes",1,0)</f>
        <v>0</v>
      </c>
      <c r="M459" s="2"/>
      <c r="N459" s="1" t="s">
        <v>30</v>
      </c>
      <c r="O459">
        <v>12</v>
      </c>
      <c r="P459">
        <v>1</v>
      </c>
      <c r="Q459">
        <v>15</v>
      </c>
      <c r="R459" s="1" t="s">
        <v>24</v>
      </c>
    </row>
    <row r="460" spans="1:18" x14ac:dyDescent="0.35">
      <c r="A460" s="1" t="s">
        <v>516</v>
      </c>
      <c r="B460" s="1" t="s">
        <v>18</v>
      </c>
      <c r="C460" s="1" t="s">
        <v>19</v>
      </c>
      <c r="D460" s="1" t="s">
        <v>38</v>
      </c>
      <c r="E460" s="1" t="s">
        <v>39</v>
      </c>
      <c r="F460">
        <v>7</v>
      </c>
      <c r="G460">
        <v>150.1</v>
      </c>
      <c r="H460" s="1" t="s">
        <v>35</v>
      </c>
      <c r="I460" s="1" t="s">
        <v>23</v>
      </c>
      <c r="J460" s="2">
        <v>44915</v>
      </c>
      <c r="K460" s="1" t="s">
        <v>24</v>
      </c>
      <c r="L460" s="1">
        <f>IF(Subscriptions[[#This Row],[churned]]="Yes",1,0)</f>
        <v>1</v>
      </c>
      <c r="M460" s="2">
        <v>45232</v>
      </c>
      <c r="N460" s="1" t="s">
        <v>85</v>
      </c>
      <c r="O460">
        <v>5</v>
      </c>
      <c r="P460">
        <v>2</v>
      </c>
      <c r="Q460">
        <v>12</v>
      </c>
      <c r="R460" s="1" t="s">
        <v>26</v>
      </c>
    </row>
    <row r="461" spans="1:18" x14ac:dyDescent="0.35">
      <c r="A461" s="1" t="s">
        <v>517</v>
      </c>
      <c r="B461" s="1" t="s">
        <v>37</v>
      </c>
      <c r="C461" s="1" t="s">
        <v>28</v>
      </c>
      <c r="D461" s="1" t="s">
        <v>33</v>
      </c>
      <c r="E461" s="1" t="s">
        <v>39</v>
      </c>
      <c r="F461">
        <v>33</v>
      </c>
      <c r="G461">
        <v>981.07</v>
      </c>
      <c r="H461" s="1" t="s">
        <v>35</v>
      </c>
      <c r="I461" s="1" t="s">
        <v>58</v>
      </c>
      <c r="J461" s="2">
        <v>44964</v>
      </c>
      <c r="K461" s="1" t="s">
        <v>26</v>
      </c>
      <c r="L461" s="1">
        <f>IF(Subscriptions[[#This Row],[churned]]="Yes",1,0)</f>
        <v>0</v>
      </c>
      <c r="M461" s="2"/>
      <c r="N461" s="1" t="s">
        <v>30</v>
      </c>
      <c r="O461">
        <v>1</v>
      </c>
      <c r="P461">
        <v>8</v>
      </c>
      <c r="Q461">
        <v>89</v>
      </c>
      <c r="R461" s="1" t="s">
        <v>26</v>
      </c>
    </row>
    <row r="462" spans="1:18" x14ac:dyDescent="0.35">
      <c r="A462" s="1" t="s">
        <v>518</v>
      </c>
      <c r="B462" s="1" t="s">
        <v>32</v>
      </c>
      <c r="C462" s="1" t="s">
        <v>19</v>
      </c>
      <c r="D462" s="1" t="s">
        <v>65</v>
      </c>
      <c r="E462" s="1" t="s">
        <v>45</v>
      </c>
      <c r="F462">
        <v>3</v>
      </c>
      <c r="G462">
        <v>37.700000000000003</v>
      </c>
      <c r="H462" s="1" t="s">
        <v>35</v>
      </c>
      <c r="I462" s="1" t="s">
        <v>40</v>
      </c>
      <c r="J462" s="2">
        <v>45660</v>
      </c>
      <c r="K462" s="1" t="s">
        <v>26</v>
      </c>
      <c r="L462" s="1">
        <f>IF(Subscriptions[[#This Row],[churned]]="Yes",1,0)</f>
        <v>0</v>
      </c>
      <c r="M462" s="2"/>
      <c r="N462" s="1" t="s">
        <v>30</v>
      </c>
      <c r="O462">
        <v>10</v>
      </c>
      <c r="P462">
        <v>7</v>
      </c>
      <c r="Q462">
        <v>60</v>
      </c>
      <c r="R462" s="1" t="s">
        <v>26</v>
      </c>
    </row>
    <row r="463" spans="1:18" x14ac:dyDescent="0.35">
      <c r="A463" s="1" t="s">
        <v>519</v>
      </c>
      <c r="B463" s="1" t="s">
        <v>18</v>
      </c>
      <c r="C463" s="1" t="s">
        <v>28</v>
      </c>
      <c r="D463" s="1" t="s">
        <v>65</v>
      </c>
      <c r="E463" s="1" t="s">
        <v>45</v>
      </c>
      <c r="F463">
        <v>5</v>
      </c>
      <c r="G463">
        <v>107.44</v>
      </c>
      <c r="H463" s="1" t="s">
        <v>29</v>
      </c>
      <c r="I463" s="1" t="s">
        <v>40</v>
      </c>
      <c r="J463" s="2">
        <v>45817</v>
      </c>
      <c r="K463" s="1" t="s">
        <v>26</v>
      </c>
      <c r="L463" s="1">
        <f>IF(Subscriptions[[#This Row],[churned]]="Yes",1,0)</f>
        <v>0</v>
      </c>
      <c r="M463" s="2"/>
      <c r="N463" s="1" t="s">
        <v>30</v>
      </c>
      <c r="O463">
        <v>2</v>
      </c>
      <c r="P463">
        <v>9</v>
      </c>
      <c r="Q463">
        <v>82</v>
      </c>
      <c r="R463" s="1" t="s">
        <v>26</v>
      </c>
    </row>
    <row r="464" spans="1:18" x14ac:dyDescent="0.35">
      <c r="A464" s="1" t="s">
        <v>520</v>
      </c>
      <c r="B464" s="1" t="s">
        <v>18</v>
      </c>
      <c r="C464" s="1" t="s">
        <v>19</v>
      </c>
      <c r="D464" s="1" t="s">
        <v>65</v>
      </c>
      <c r="E464" s="1" t="s">
        <v>39</v>
      </c>
      <c r="F464">
        <v>5</v>
      </c>
      <c r="G464">
        <v>126.4</v>
      </c>
      <c r="H464" s="1" t="s">
        <v>101</v>
      </c>
      <c r="I464" s="1" t="s">
        <v>23</v>
      </c>
      <c r="J464" s="2">
        <v>44748</v>
      </c>
      <c r="K464" s="1" t="s">
        <v>24</v>
      </c>
      <c r="L464" s="1">
        <f>IF(Subscriptions[[#This Row],[churned]]="Yes",1,0)</f>
        <v>1</v>
      </c>
      <c r="M464" s="2">
        <v>44842</v>
      </c>
      <c r="N464" s="1" t="s">
        <v>66</v>
      </c>
      <c r="O464">
        <v>1</v>
      </c>
      <c r="P464">
        <v>2</v>
      </c>
      <c r="Q464">
        <v>17</v>
      </c>
      <c r="R464" s="1" t="s">
        <v>26</v>
      </c>
    </row>
    <row r="465" spans="1:18" x14ac:dyDescent="0.35">
      <c r="A465" s="1" t="s">
        <v>521</v>
      </c>
      <c r="B465" s="1" t="s">
        <v>32</v>
      </c>
      <c r="C465" s="1" t="s">
        <v>28</v>
      </c>
      <c r="D465" s="1" t="s">
        <v>38</v>
      </c>
      <c r="E465" s="1" t="s">
        <v>21</v>
      </c>
      <c r="F465">
        <v>59</v>
      </c>
      <c r="G465">
        <v>239.1</v>
      </c>
      <c r="H465" s="1" t="s">
        <v>63</v>
      </c>
      <c r="I465" s="1" t="s">
        <v>23</v>
      </c>
      <c r="J465" s="2">
        <v>45948</v>
      </c>
      <c r="K465" s="1" t="s">
        <v>26</v>
      </c>
      <c r="L465" s="1">
        <f>IF(Subscriptions[[#This Row],[churned]]="Yes",1,0)</f>
        <v>0</v>
      </c>
      <c r="M465" s="2"/>
      <c r="N465" s="1" t="s">
        <v>30</v>
      </c>
      <c r="O465">
        <v>12</v>
      </c>
      <c r="P465">
        <v>9</v>
      </c>
      <c r="Q465">
        <v>72</v>
      </c>
      <c r="R465" s="1" t="s">
        <v>26</v>
      </c>
    </row>
    <row r="466" spans="1:18" x14ac:dyDescent="0.35">
      <c r="A466" s="1" t="s">
        <v>522</v>
      </c>
      <c r="B466" s="1" t="s">
        <v>18</v>
      </c>
      <c r="C466" s="1" t="s">
        <v>19</v>
      </c>
      <c r="D466" s="1" t="s">
        <v>65</v>
      </c>
      <c r="E466" s="1" t="s">
        <v>45</v>
      </c>
      <c r="F466">
        <v>1</v>
      </c>
      <c r="G466">
        <v>79</v>
      </c>
      <c r="H466" s="1" t="s">
        <v>29</v>
      </c>
      <c r="I466" s="1" t="s">
        <v>40</v>
      </c>
      <c r="J466" s="2">
        <v>46015</v>
      </c>
      <c r="K466" s="1" t="s">
        <v>26</v>
      </c>
      <c r="L466" s="1">
        <f>IF(Subscriptions[[#This Row],[churned]]="Yes",1,0)</f>
        <v>0</v>
      </c>
      <c r="M466" s="2"/>
      <c r="N466" s="1" t="s">
        <v>30</v>
      </c>
      <c r="O466">
        <v>11</v>
      </c>
      <c r="P466">
        <v>5</v>
      </c>
      <c r="Q466">
        <v>84</v>
      </c>
      <c r="R466" s="1" t="s">
        <v>26</v>
      </c>
    </row>
    <row r="467" spans="1:18" x14ac:dyDescent="0.35">
      <c r="A467" s="1" t="s">
        <v>523</v>
      </c>
      <c r="B467" s="1" t="s">
        <v>37</v>
      </c>
      <c r="C467" s="1" t="s">
        <v>28</v>
      </c>
      <c r="D467" s="1" t="s">
        <v>33</v>
      </c>
      <c r="E467" s="1" t="s">
        <v>21</v>
      </c>
      <c r="F467">
        <v>35</v>
      </c>
      <c r="G467">
        <v>1031.82</v>
      </c>
      <c r="H467" s="1" t="s">
        <v>63</v>
      </c>
      <c r="I467" s="1" t="s">
        <v>40</v>
      </c>
      <c r="J467" s="2">
        <v>45409</v>
      </c>
      <c r="K467" s="1" t="s">
        <v>26</v>
      </c>
      <c r="L467" s="1">
        <f>IF(Subscriptions[[#This Row],[churned]]="Yes",1,0)</f>
        <v>0</v>
      </c>
      <c r="M467" s="2"/>
      <c r="N467" s="1" t="s">
        <v>30</v>
      </c>
      <c r="O467">
        <v>4</v>
      </c>
      <c r="P467">
        <v>8</v>
      </c>
      <c r="Q467">
        <v>41</v>
      </c>
      <c r="R467" s="1" t="s">
        <v>26</v>
      </c>
    </row>
    <row r="468" spans="1:18" x14ac:dyDescent="0.35">
      <c r="A468" s="1" t="s">
        <v>524</v>
      </c>
      <c r="B468" s="1" t="s">
        <v>32</v>
      </c>
      <c r="C468" s="1" t="s">
        <v>28</v>
      </c>
      <c r="D468" s="1" t="s">
        <v>55</v>
      </c>
      <c r="E468" s="1" t="s">
        <v>48</v>
      </c>
      <c r="F468">
        <v>112</v>
      </c>
      <c r="G468">
        <v>435.07</v>
      </c>
      <c r="H468" s="1" t="s">
        <v>46</v>
      </c>
      <c r="I468" s="1" t="s">
        <v>72</v>
      </c>
      <c r="J468" s="2">
        <v>44861</v>
      </c>
      <c r="K468" s="1" t="s">
        <v>24</v>
      </c>
      <c r="L468" s="1">
        <f>IF(Subscriptions[[#This Row],[churned]]="Yes",1,0)</f>
        <v>1</v>
      </c>
      <c r="M468" s="2">
        <v>45096</v>
      </c>
      <c r="N468" s="1" t="s">
        <v>53</v>
      </c>
      <c r="O468">
        <v>12</v>
      </c>
      <c r="P468">
        <v>1</v>
      </c>
      <c r="Q468">
        <v>34</v>
      </c>
      <c r="R468" s="1" t="s">
        <v>26</v>
      </c>
    </row>
    <row r="469" spans="1:18" x14ac:dyDescent="0.35">
      <c r="A469" s="1" t="s">
        <v>525</v>
      </c>
      <c r="B469" s="1" t="s">
        <v>74</v>
      </c>
      <c r="C469" s="1" t="s">
        <v>28</v>
      </c>
      <c r="D469" s="1" t="s">
        <v>44</v>
      </c>
      <c r="E469" s="1" t="s">
        <v>39</v>
      </c>
      <c r="F469">
        <v>10</v>
      </c>
      <c r="G469">
        <v>996.75</v>
      </c>
      <c r="H469" s="1" t="s">
        <v>46</v>
      </c>
      <c r="I469" s="1" t="s">
        <v>23</v>
      </c>
      <c r="J469" s="2">
        <v>45424</v>
      </c>
      <c r="K469" s="1" t="s">
        <v>26</v>
      </c>
      <c r="L469" s="1">
        <f>IF(Subscriptions[[#This Row],[churned]]="Yes",1,0)</f>
        <v>0</v>
      </c>
      <c r="M469" s="2"/>
      <c r="N469" s="1" t="s">
        <v>30</v>
      </c>
      <c r="O469">
        <v>3</v>
      </c>
      <c r="P469">
        <v>1</v>
      </c>
      <c r="Q469">
        <v>64</v>
      </c>
      <c r="R469" s="1" t="s">
        <v>26</v>
      </c>
    </row>
    <row r="470" spans="1:18" x14ac:dyDescent="0.35">
      <c r="A470" s="1" t="s">
        <v>526</v>
      </c>
      <c r="B470" s="1" t="s">
        <v>37</v>
      </c>
      <c r="C470" s="1" t="s">
        <v>28</v>
      </c>
      <c r="D470" s="1" t="s">
        <v>52</v>
      </c>
      <c r="E470" s="1" t="s">
        <v>45</v>
      </c>
      <c r="F470">
        <v>3</v>
      </c>
      <c r="G470">
        <v>219.9</v>
      </c>
      <c r="H470" s="1" t="s">
        <v>63</v>
      </c>
      <c r="I470" s="1" t="s">
        <v>40</v>
      </c>
      <c r="J470" s="2">
        <v>46010</v>
      </c>
      <c r="K470" s="1" t="s">
        <v>26</v>
      </c>
      <c r="L470" s="1">
        <f>IF(Subscriptions[[#This Row],[churned]]="Yes",1,0)</f>
        <v>0</v>
      </c>
      <c r="M470" s="2"/>
      <c r="N470" s="1" t="s">
        <v>30</v>
      </c>
      <c r="O470">
        <v>8</v>
      </c>
      <c r="P470">
        <v>2</v>
      </c>
      <c r="Q470">
        <v>45</v>
      </c>
      <c r="R470" s="1" t="s">
        <v>26</v>
      </c>
    </row>
    <row r="471" spans="1:18" x14ac:dyDescent="0.35">
      <c r="A471" s="1" t="s">
        <v>527</v>
      </c>
      <c r="B471" s="1" t="s">
        <v>18</v>
      </c>
      <c r="C471" s="1" t="s">
        <v>19</v>
      </c>
      <c r="D471" s="1" t="s">
        <v>38</v>
      </c>
      <c r="E471" s="1" t="s">
        <v>45</v>
      </c>
      <c r="F471">
        <v>5</v>
      </c>
      <c r="G471">
        <v>126.4</v>
      </c>
      <c r="H471" s="1" t="s">
        <v>29</v>
      </c>
      <c r="I471" s="1" t="s">
        <v>23</v>
      </c>
      <c r="J471" s="2">
        <v>45577</v>
      </c>
      <c r="K471" s="1" t="s">
        <v>24</v>
      </c>
      <c r="L471" s="1">
        <f>IF(Subscriptions[[#This Row],[churned]]="Yes",1,0)</f>
        <v>1</v>
      </c>
      <c r="M471" s="2">
        <v>45756</v>
      </c>
      <c r="N471" s="1" t="s">
        <v>56</v>
      </c>
      <c r="O471">
        <v>4</v>
      </c>
      <c r="P471">
        <v>1</v>
      </c>
      <c r="Q471">
        <v>21</v>
      </c>
      <c r="R471" s="1" t="s">
        <v>26</v>
      </c>
    </row>
    <row r="472" spans="1:18" x14ac:dyDescent="0.35">
      <c r="A472" s="1" t="s">
        <v>528</v>
      </c>
      <c r="B472" s="1" t="s">
        <v>37</v>
      </c>
      <c r="C472" s="1" t="s">
        <v>28</v>
      </c>
      <c r="D472" s="1" t="s">
        <v>38</v>
      </c>
      <c r="E472" s="1" t="s">
        <v>21</v>
      </c>
      <c r="F472">
        <v>62</v>
      </c>
      <c r="G472">
        <v>1716.87</v>
      </c>
      <c r="H472" s="1" t="s">
        <v>63</v>
      </c>
      <c r="I472" s="1" t="s">
        <v>23</v>
      </c>
      <c r="J472" s="2">
        <v>45191</v>
      </c>
      <c r="K472" s="1" t="s">
        <v>24</v>
      </c>
      <c r="L472" s="1">
        <f>IF(Subscriptions[[#This Row],[churned]]="Yes",1,0)</f>
        <v>1</v>
      </c>
      <c r="M472" s="2">
        <v>45811</v>
      </c>
      <c r="N472" s="1" t="s">
        <v>66</v>
      </c>
      <c r="O472">
        <v>10</v>
      </c>
      <c r="P472">
        <v>4</v>
      </c>
      <c r="Q472">
        <v>28</v>
      </c>
      <c r="R472" s="1" t="s">
        <v>26</v>
      </c>
    </row>
    <row r="473" spans="1:18" x14ac:dyDescent="0.35">
      <c r="A473" s="1" t="s">
        <v>529</v>
      </c>
      <c r="B473" s="1" t="s">
        <v>32</v>
      </c>
      <c r="C473" s="1" t="s">
        <v>28</v>
      </c>
      <c r="D473" s="1" t="s">
        <v>38</v>
      </c>
      <c r="E473" s="1" t="s">
        <v>39</v>
      </c>
      <c r="F473">
        <v>5</v>
      </c>
      <c r="G473">
        <v>39.44</v>
      </c>
      <c r="H473" s="1" t="s">
        <v>35</v>
      </c>
      <c r="I473" s="1" t="s">
        <v>58</v>
      </c>
      <c r="J473" s="2">
        <v>44804</v>
      </c>
      <c r="K473" s="1" t="s">
        <v>24</v>
      </c>
      <c r="L473" s="1">
        <f>IF(Subscriptions[[#This Row],[churned]]="Yes",1,0)</f>
        <v>1</v>
      </c>
      <c r="M473" s="2">
        <v>44920</v>
      </c>
      <c r="N473" s="1" t="s">
        <v>49</v>
      </c>
      <c r="O473">
        <v>12</v>
      </c>
      <c r="P473">
        <v>1</v>
      </c>
      <c r="Q473">
        <v>44</v>
      </c>
      <c r="R473" s="1" t="s">
        <v>26</v>
      </c>
    </row>
    <row r="474" spans="1:18" x14ac:dyDescent="0.35">
      <c r="A474" s="1" t="s">
        <v>530</v>
      </c>
      <c r="B474" s="1" t="s">
        <v>32</v>
      </c>
      <c r="C474" s="1" t="s">
        <v>19</v>
      </c>
      <c r="D474" s="1" t="s">
        <v>33</v>
      </c>
      <c r="E474" s="1" t="s">
        <v>21</v>
      </c>
      <c r="F474">
        <v>48</v>
      </c>
      <c r="G474">
        <v>233.45</v>
      </c>
      <c r="H474" s="1" t="s">
        <v>29</v>
      </c>
      <c r="I474" s="1" t="s">
        <v>23</v>
      </c>
      <c r="J474" s="2">
        <v>45842</v>
      </c>
      <c r="K474" s="1" t="s">
        <v>26</v>
      </c>
      <c r="L474" s="1">
        <f>IF(Subscriptions[[#This Row],[churned]]="Yes",1,0)</f>
        <v>0</v>
      </c>
      <c r="M474" s="2"/>
      <c r="N474" s="1" t="s">
        <v>30</v>
      </c>
      <c r="O474">
        <v>0</v>
      </c>
      <c r="P474">
        <v>7</v>
      </c>
      <c r="Q474">
        <v>40</v>
      </c>
      <c r="R474" s="1" t="s">
        <v>26</v>
      </c>
    </row>
    <row r="475" spans="1:18" x14ac:dyDescent="0.35">
      <c r="A475" s="1" t="s">
        <v>531</v>
      </c>
      <c r="B475" s="1" t="s">
        <v>18</v>
      </c>
      <c r="C475" s="1" t="s">
        <v>28</v>
      </c>
      <c r="D475" s="1" t="s">
        <v>38</v>
      </c>
      <c r="E475" s="1" t="s">
        <v>39</v>
      </c>
      <c r="F475">
        <v>7</v>
      </c>
      <c r="G475">
        <v>127.59</v>
      </c>
      <c r="H475" s="1" t="s">
        <v>46</v>
      </c>
      <c r="I475" s="1" t="s">
        <v>40</v>
      </c>
      <c r="J475" s="2">
        <v>44880</v>
      </c>
      <c r="K475" s="1" t="s">
        <v>24</v>
      </c>
      <c r="L475" s="1">
        <f>IF(Subscriptions[[#This Row],[churned]]="Yes",1,0)</f>
        <v>1</v>
      </c>
      <c r="M475" s="2">
        <v>44964</v>
      </c>
      <c r="N475" s="1" t="s">
        <v>85</v>
      </c>
      <c r="O475">
        <v>1</v>
      </c>
      <c r="P475">
        <v>5</v>
      </c>
      <c r="Q475">
        <v>45</v>
      </c>
      <c r="R475" s="1" t="s">
        <v>26</v>
      </c>
    </row>
    <row r="476" spans="1:18" x14ac:dyDescent="0.35">
      <c r="A476" s="1" t="s">
        <v>532</v>
      </c>
      <c r="B476" s="1" t="s">
        <v>18</v>
      </c>
      <c r="C476" s="1" t="s">
        <v>28</v>
      </c>
      <c r="D476" s="1" t="s">
        <v>38</v>
      </c>
      <c r="E476" s="1" t="s">
        <v>45</v>
      </c>
      <c r="F476">
        <v>1</v>
      </c>
      <c r="G476">
        <v>67.150000000000006</v>
      </c>
      <c r="H476" s="1" t="s">
        <v>63</v>
      </c>
      <c r="I476" s="1" t="s">
        <v>23</v>
      </c>
      <c r="J476" s="2">
        <v>46019</v>
      </c>
      <c r="K476" s="1" t="s">
        <v>26</v>
      </c>
      <c r="L476" s="1">
        <f>IF(Subscriptions[[#This Row],[churned]]="Yes",1,0)</f>
        <v>0</v>
      </c>
      <c r="M476" s="2"/>
      <c r="N476" s="1" t="s">
        <v>30</v>
      </c>
      <c r="O476">
        <v>11</v>
      </c>
      <c r="P476">
        <v>6</v>
      </c>
      <c r="Q476">
        <v>30</v>
      </c>
      <c r="R476" s="1" t="s">
        <v>26</v>
      </c>
    </row>
    <row r="477" spans="1:18" x14ac:dyDescent="0.35">
      <c r="A477" s="1" t="s">
        <v>533</v>
      </c>
      <c r="B477" s="1" t="s">
        <v>18</v>
      </c>
      <c r="C477" s="1" t="s">
        <v>28</v>
      </c>
      <c r="D477" s="1" t="s">
        <v>38</v>
      </c>
      <c r="E477" s="1" t="s">
        <v>45</v>
      </c>
      <c r="F477">
        <v>2</v>
      </c>
      <c r="G477">
        <v>77.22</v>
      </c>
      <c r="H477" s="1" t="s">
        <v>22</v>
      </c>
      <c r="I477" s="1" t="s">
        <v>72</v>
      </c>
      <c r="J477" s="2">
        <v>45822</v>
      </c>
      <c r="K477" s="1" t="s">
        <v>26</v>
      </c>
      <c r="L477" s="1">
        <f>IF(Subscriptions[[#This Row],[churned]]="Yes",1,0)</f>
        <v>0</v>
      </c>
      <c r="M477" s="2"/>
      <c r="N477" s="1" t="s">
        <v>30</v>
      </c>
      <c r="O477">
        <v>1</v>
      </c>
      <c r="P477">
        <v>3</v>
      </c>
      <c r="Q477">
        <v>15</v>
      </c>
      <c r="R477" s="1" t="s">
        <v>26</v>
      </c>
    </row>
    <row r="478" spans="1:18" x14ac:dyDescent="0.35">
      <c r="A478" s="1" t="s">
        <v>534</v>
      </c>
      <c r="B478" s="1" t="s">
        <v>18</v>
      </c>
      <c r="C478" s="1" t="s">
        <v>19</v>
      </c>
      <c r="D478" s="1" t="s">
        <v>44</v>
      </c>
      <c r="E478" s="1" t="s">
        <v>21</v>
      </c>
      <c r="F478">
        <v>67</v>
      </c>
      <c r="G478">
        <v>861.1</v>
      </c>
      <c r="H478" s="1" t="s">
        <v>29</v>
      </c>
      <c r="I478" s="1" t="s">
        <v>58</v>
      </c>
      <c r="J478" s="2">
        <v>45822</v>
      </c>
      <c r="K478" s="1" t="s">
        <v>26</v>
      </c>
      <c r="L478" s="1">
        <f>IF(Subscriptions[[#This Row],[churned]]="Yes",1,0)</f>
        <v>0</v>
      </c>
      <c r="M478" s="2"/>
      <c r="N478" s="1" t="s">
        <v>30</v>
      </c>
      <c r="O478">
        <v>11</v>
      </c>
      <c r="P478">
        <v>8</v>
      </c>
      <c r="Q478">
        <v>76</v>
      </c>
      <c r="R478" s="1" t="s">
        <v>26</v>
      </c>
    </row>
    <row r="479" spans="1:18" x14ac:dyDescent="0.35">
      <c r="A479" s="1" t="s">
        <v>535</v>
      </c>
      <c r="B479" s="1" t="s">
        <v>37</v>
      </c>
      <c r="C479" s="1" t="s">
        <v>19</v>
      </c>
      <c r="D479" s="1" t="s">
        <v>20</v>
      </c>
      <c r="E479" s="1" t="s">
        <v>45</v>
      </c>
      <c r="F479">
        <v>3</v>
      </c>
      <c r="G479">
        <v>258.7</v>
      </c>
      <c r="H479" s="1" t="s">
        <v>63</v>
      </c>
      <c r="I479" s="1" t="s">
        <v>40</v>
      </c>
      <c r="J479" s="2">
        <v>44609</v>
      </c>
      <c r="K479" s="1" t="s">
        <v>24</v>
      </c>
      <c r="L479" s="1">
        <f>IF(Subscriptions[[#This Row],[churned]]="Yes",1,0)</f>
        <v>1</v>
      </c>
      <c r="M479" s="2">
        <v>45471</v>
      </c>
      <c r="N479" s="1" t="s">
        <v>49</v>
      </c>
      <c r="O479">
        <v>1</v>
      </c>
      <c r="P479">
        <v>1</v>
      </c>
      <c r="Q479">
        <v>11</v>
      </c>
      <c r="R479" s="1" t="s">
        <v>26</v>
      </c>
    </row>
    <row r="480" spans="1:18" x14ac:dyDescent="0.35">
      <c r="A480" s="1" t="s">
        <v>536</v>
      </c>
      <c r="B480" s="1" t="s">
        <v>32</v>
      </c>
      <c r="C480" s="1" t="s">
        <v>19</v>
      </c>
      <c r="D480" s="1" t="s">
        <v>55</v>
      </c>
      <c r="E480" s="1" t="s">
        <v>39</v>
      </c>
      <c r="F480">
        <v>10</v>
      </c>
      <c r="G480">
        <v>68.150000000000006</v>
      </c>
      <c r="H480" s="1" t="s">
        <v>63</v>
      </c>
      <c r="I480" s="1" t="s">
        <v>23</v>
      </c>
      <c r="J480" s="2">
        <v>45236</v>
      </c>
      <c r="K480" s="1" t="s">
        <v>24</v>
      </c>
      <c r="L480" s="1">
        <f>IF(Subscriptions[[#This Row],[churned]]="Yes",1,0)</f>
        <v>1</v>
      </c>
      <c r="M480" s="2">
        <v>45737</v>
      </c>
      <c r="N480" s="1" t="s">
        <v>85</v>
      </c>
      <c r="O480">
        <v>2</v>
      </c>
      <c r="P480">
        <v>1</v>
      </c>
      <c r="Q480">
        <v>21</v>
      </c>
      <c r="R480" s="1" t="s">
        <v>26</v>
      </c>
    </row>
    <row r="481" spans="1:18" x14ac:dyDescent="0.35">
      <c r="A481" s="1" t="s">
        <v>537</v>
      </c>
      <c r="B481" s="1" t="s">
        <v>37</v>
      </c>
      <c r="C481" s="1" t="s">
        <v>19</v>
      </c>
      <c r="D481" s="1" t="s">
        <v>42</v>
      </c>
      <c r="E481" s="1" t="s">
        <v>39</v>
      </c>
      <c r="F481">
        <v>5</v>
      </c>
      <c r="G481">
        <v>318.39999999999998</v>
      </c>
      <c r="H481" s="1" t="s">
        <v>22</v>
      </c>
      <c r="I481" s="1" t="s">
        <v>40</v>
      </c>
      <c r="J481" s="2">
        <v>44965</v>
      </c>
      <c r="K481" s="1" t="s">
        <v>24</v>
      </c>
      <c r="L481" s="1">
        <f>IF(Subscriptions[[#This Row],[churned]]="Yes",1,0)</f>
        <v>1</v>
      </c>
      <c r="M481" s="2">
        <v>44973</v>
      </c>
      <c r="N481" s="1" t="s">
        <v>59</v>
      </c>
      <c r="O481">
        <v>8</v>
      </c>
      <c r="P481">
        <v>6</v>
      </c>
      <c r="Q481">
        <v>34</v>
      </c>
      <c r="R481" s="1" t="s">
        <v>26</v>
      </c>
    </row>
    <row r="482" spans="1:18" x14ac:dyDescent="0.35">
      <c r="A482" s="1" t="s">
        <v>538</v>
      </c>
      <c r="B482" s="1" t="s">
        <v>74</v>
      </c>
      <c r="C482" s="1" t="s">
        <v>19</v>
      </c>
      <c r="D482" s="1" t="s">
        <v>71</v>
      </c>
      <c r="E482" s="1" t="s">
        <v>48</v>
      </c>
      <c r="F482">
        <v>112</v>
      </c>
      <c r="G482">
        <v>8807.35</v>
      </c>
      <c r="H482" s="1" t="s">
        <v>22</v>
      </c>
      <c r="I482" s="1" t="s">
        <v>40</v>
      </c>
      <c r="J482" s="2">
        <v>45464</v>
      </c>
      <c r="K482" s="1" t="s">
        <v>26</v>
      </c>
      <c r="L482" s="1">
        <f>IF(Subscriptions[[#This Row],[churned]]="Yes",1,0)</f>
        <v>0</v>
      </c>
      <c r="M482" s="2"/>
      <c r="N482" s="1" t="s">
        <v>30</v>
      </c>
      <c r="O482">
        <v>2</v>
      </c>
      <c r="P482">
        <v>2</v>
      </c>
      <c r="Q482">
        <v>61</v>
      </c>
      <c r="R482" s="1" t="s">
        <v>26</v>
      </c>
    </row>
    <row r="483" spans="1:18" x14ac:dyDescent="0.35">
      <c r="A483" s="1" t="s">
        <v>539</v>
      </c>
      <c r="B483" s="1" t="s">
        <v>18</v>
      </c>
      <c r="C483" s="1" t="s">
        <v>28</v>
      </c>
      <c r="D483" s="1" t="s">
        <v>65</v>
      </c>
      <c r="E483" s="1" t="s">
        <v>39</v>
      </c>
      <c r="F483">
        <v>27</v>
      </c>
      <c r="G483">
        <v>329.03</v>
      </c>
      <c r="H483" s="1" t="s">
        <v>63</v>
      </c>
      <c r="I483" s="1" t="s">
        <v>23</v>
      </c>
      <c r="J483" s="2">
        <v>45567</v>
      </c>
      <c r="K483" s="1" t="s">
        <v>26</v>
      </c>
      <c r="L483" s="1">
        <f>IF(Subscriptions[[#This Row],[churned]]="Yes",1,0)</f>
        <v>0</v>
      </c>
      <c r="M483" s="2"/>
      <c r="N483" s="1" t="s">
        <v>30</v>
      </c>
      <c r="O483">
        <v>8</v>
      </c>
      <c r="P483">
        <v>6</v>
      </c>
      <c r="Q483">
        <v>80</v>
      </c>
      <c r="R483" s="1" t="s">
        <v>26</v>
      </c>
    </row>
    <row r="484" spans="1:18" x14ac:dyDescent="0.35">
      <c r="A484" s="1" t="s">
        <v>540</v>
      </c>
      <c r="B484" s="1" t="s">
        <v>32</v>
      </c>
      <c r="C484" s="1" t="s">
        <v>28</v>
      </c>
      <c r="D484" s="1" t="s">
        <v>65</v>
      </c>
      <c r="E484" s="1" t="s">
        <v>39</v>
      </c>
      <c r="F484">
        <v>6</v>
      </c>
      <c r="G484">
        <v>43.14</v>
      </c>
      <c r="H484" s="1" t="s">
        <v>63</v>
      </c>
      <c r="I484" s="1" t="s">
        <v>23</v>
      </c>
      <c r="J484" s="2">
        <v>44614</v>
      </c>
      <c r="K484" s="1" t="s">
        <v>24</v>
      </c>
      <c r="L484" s="1">
        <f>IF(Subscriptions[[#This Row],[churned]]="Yes",1,0)</f>
        <v>1</v>
      </c>
      <c r="M484" s="2">
        <v>44784</v>
      </c>
      <c r="N484" s="1" t="s">
        <v>59</v>
      </c>
      <c r="O484">
        <v>6</v>
      </c>
      <c r="P484">
        <v>1</v>
      </c>
      <c r="Q484">
        <v>21</v>
      </c>
      <c r="R484" s="1" t="s">
        <v>26</v>
      </c>
    </row>
    <row r="485" spans="1:18" x14ac:dyDescent="0.35">
      <c r="A485" s="1" t="s">
        <v>541</v>
      </c>
      <c r="B485" s="1" t="s">
        <v>37</v>
      </c>
      <c r="C485" s="1" t="s">
        <v>19</v>
      </c>
      <c r="D485" s="1" t="s">
        <v>71</v>
      </c>
      <c r="E485" s="1" t="s">
        <v>39</v>
      </c>
      <c r="F485">
        <v>29</v>
      </c>
      <c r="G485">
        <v>1034.8</v>
      </c>
      <c r="H485" s="1" t="s">
        <v>22</v>
      </c>
      <c r="I485" s="1" t="s">
        <v>40</v>
      </c>
      <c r="J485" s="2">
        <v>45072</v>
      </c>
      <c r="K485" s="1" t="s">
        <v>24</v>
      </c>
      <c r="L485" s="1">
        <f>IF(Subscriptions[[#This Row],[churned]]="Yes",1,0)</f>
        <v>1</v>
      </c>
      <c r="M485" s="2">
        <v>45095</v>
      </c>
      <c r="N485" s="1" t="s">
        <v>49</v>
      </c>
      <c r="O485">
        <v>7</v>
      </c>
      <c r="P485">
        <v>3</v>
      </c>
      <c r="Q485">
        <v>32</v>
      </c>
      <c r="R485" s="1" t="s">
        <v>26</v>
      </c>
    </row>
    <row r="486" spans="1:18" x14ac:dyDescent="0.35">
      <c r="A486" s="1" t="s">
        <v>542</v>
      </c>
      <c r="B486" s="1" t="s">
        <v>18</v>
      </c>
      <c r="C486" s="1" t="s">
        <v>28</v>
      </c>
      <c r="D486" s="1" t="s">
        <v>33</v>
      </c>
      <c r="E486" s="1" t="s">
        <v>45</v>
      </c>
      <c r="F486">
        <v>2</v>
      </c>
      <c r="G486">
        <v>77.22</v>
      </c>
      <c r="H486" s="1" t="s">
        <v>22</v>
      </c>
      <c r="I486" s="1" t="s">
        <v>40</v>
      </c>
      <c r="J486" s="2">
        <v>45182</v>
      </c>
      <c r="K486" s="1" t="s">
        <v>24</v>
      </c>
      <c r="L486" s="1">
        <f>IF(Subscriptions[[#This Row],[churned]]="Yes",1,0)</f>
        <v>1</v>
      </c>
      <c r="M486" s="2">
        <v>45745</v>
      </c>
      <c r="N486" s="1" t="s">
        <v>56</v>
      </c>
      <c r="O486">
        <v>7</v>
      </c>
      <c r="P486">
        <v>1</v>
      </c>
      <c r="Q486">
        <v>30</v>
      </c>
      <c r="R486" s="1" t="s">
        <v>26</v>
      </c>
    </row>
    <row r="487" spans="1:18" x14ac:dyDescent="0.35">
      <c r="A487" s="1" t="s">
        <v>543</v>
      </c>
      <c r="B487" s="1" t="s">
        <v>32</v>
      </c>
      <c r="C487" s="1" t="s">
        <v>19</v>
      </c>
      <c r="D487" s="1" t="s">
        <v>55</v>
      </c>
      <c r="E487" s="1" t="s">
        <v>21</v>
      </c>
      <c r="F487">
        <v>25</v>
      </c>
      <c r="G487">
        <v>133.4</v>
      </c>
      <c r="H487" s="1" t="s">
        <v>35</v>
      </c>
      <c r="I487" s="1" t="s">
        <v>58</v>
      </c>
      <c r="J487" s="2">
        <v>45625</v>
      </c>
      <c r="K487" s="1" t="s">
        <v>24</v>
      </c>
      <c r="L487" s="1">
        <f>IF(Subscriptions[[#This Row],[churned]]="Yes",1,0)</f>
        <v>1</v>
      </c>
      <c r="M487" s="2">
        <v>45685</v>
      </c>
      <c r="N487" s="1" t="s">
        <v>56</v>
      </c>
      <c r="O487">
        <v>10</v>
      </c>
      <c r="P487">
        <v>4</v>
      </c>
      <c r="Q487">
        <v>29</v>
      </c>
      <c r="R487" s="1" t="s">
        <v>26</v>
      </c>
    </row>
    <row r="488" spans="1:18" x14ac:dyDescent="0.35">
      <c r="A488" s="1" t="s">
        <v>544</v>
      </c>
      <c r="B488" s="1" t="s">
        <v>32</v>
      </c>
      <c r="C488" s="1" t="s">
        <v>19</v>
      </c>
      <c r="D488" s="1" t="s">
        <v>38</v>
      </c>
      <c r="E488" s="1" t="s">
        <v>45</v>
      </c>
      <c r="F488">
        <v>7</v>
      </c>
      <c r="G488">
        <v>55.1</v>
      </c>
      <c r="H488" s="1" t="s">
        <v>101</v>
      </c>
      <c r="I488" s="1" t="s">
        <v>40</v>
      </c>
      <c r="J488" s="2">
        <v>45485</v>
      </c>
      <c r="K488" s="1" t="s">
        <v>24</v>
      </c>
      <c r="L488" s="1">
        <f>IF(Subscriptions[[#This Row],[churned]]="Yes",1,0)</f>
        <v>1</v>
      </c>
      <c r="M488" s="2">
        <v>45933</v>
      </c>
      <c r="N488" s="1" t="s">
        <v>85</v>
      </c>
      <c r="O488">
        <v>8</v>
      </c>
      <c r="P488">
        <v>3</v>
      </c>
      <c r="Q488">
        <v>50</v>
      </c>
      <c r="R488" s="1" t="s">
        <v>26</v>
      </c>
    </row>
    <row r="489" spans="1:18" x14ac:dyDescent="0.35">
      <c r="A489" s="1" t="s">
        <v>545</v>
      </c>
      <c r="B489" s="1" t="s">
        <v>37</v>
      </c>
      <c r="C489" s="1" t="s">
        <v>28</v>
      </c>
      <c r="D489" s="1" t="s">
        <v>65</v>
      </c>
      <c r="E489" s="1" t="s">
        <v>45</v>
      </c>
      <c r="F489">
        <v>7</v>
      </c>
      <c r="G489">
        <v>321.38</v>
      </c>
      <c r="H489" s="1" t="s">
        <v>35</v>
      </c>
      <c r="I489" s="1" t="s">
        <v>23</v>
      </c>
      <c r="J489" s="2">
        <v>44825</v>
      </c>
      <c r="K489" s="1" t="s">
        <v>26</v>
      </c>
      <c r="L489" s="1">
        <f>IF(Subscriptions[[#This Row],[churned]]="Yes",1,0)</f>
        <v>0</v>
      </c>
      <c r="M489" s="2"/>
      <c r="N489" s="1" t="s">
        <v>30</v>
      </c>
      <c r="O489">
        <v>2</v>
      </c>
      <c r="P489">
        <v>6</v>
      </c>
      <c r="Q489">
        <v>84</v>
      </c>
      <c r="R489" s="1" t="s">
        <v>26</v>
      </c>
    </row>
    <row r="490" spans="1:18" x14ac:dyDescent="0.35">
      <c r="A490" s="1" t="s">
        <v>546</v>
      </c>
      <c r="B490" s="1" t="s">
        <v>18</v>
      </c>
      <c r="C490" s="1" t="s">
        <v>19</v>
      </c>
      <c r="D490" s="1" t="s">
        <v>82</v>
      </c>
      <c r="E490" s="1" t="s">
        <v>39</v>
      </c>
      <c r="F490">
        <v>24</v>
      </c>
      <c r="G490">
        <v>351.55</v>
      </c>
      <c r="H490" s="1" t="s">
        <v>46</v>
      </c>
      <c r="I490" s="1" t="s">
        <v>58</v>
      </c>
      <c r="J490" s="2">
        <v>45137</v>
      </c>
      <c r="K490" s="1" t="s">
        <v>24</v>
      </c>
      <c r="L490" s="1">
        <f>IF(Subscriptions[[#This Row],[churned]]="Yes",1,0)</f>
        <v>1</v>
      </c>
      <c r="M490" s="2">
        <v>45779</v>
      </c>
      <c r="N490" s="1" t="s">
        <v>66</v>
      </c>
      <c r="O490">
        <v>15</v>
      </c>
      <c r="P490">
        <v>5</v>
      </c>
      <c r="Q490">
        <v>26</v>
      </c>
      <c r="R490" s="1" t="s">
        <v>26</v>
      </c>
    </row>
    <row r="491" spans="1:18" x14ac:dyDescent="0.35">
      <c r="A491" s="1" t="s">
        <v>547</v>
      </c>
      <c r="B491" s="1" t="s">
        <v>74</v>
      </c>
      <c r="C491" s="1" t="s">
        <v>19</v>
      </c>
      <c r="D491" s="1" t="s">
        <v>52</v>
      </c>
      <c r="E491" s="1" t="s">
        <v>45</v>
      </c>
      <c r="F491">
        <v>6</v>
      </c>
      <c r="G491">
        <v>873.25</v>
      </c>
      <c r="H491" s="1" t="s">
        <v>46</v>
      </c>
      <c r="I491" s="1" t="s">
        <v>23</v>
      </c>
      <c r="J491" s="2">
        <v>44647</v>
      </c>
      <c r="K491" s="1" t="s">
        <v>24</v>
      </c>
      <c r="L491" s="1">
        <f>IF(Subscriptions[[#This Row],[churned]]="Yes",1,0)</f>
        <v>1</v>
      </c>
      <c r="M491" s="2">
        <v>45710</v>
      </c>
      <c r="N491" s="1" t="s">
        <v>59</v>
      </c>
      <c r="O491">
        <v>11</v>
      </c>
      <c r="P491">
        <v>3</v>
      </c>
      <c r="Q491">
        <v>19</v>
      </c>
      <c r="R491" s="1" t="s">
        <v>26</v>
      </c>
    </row>
    <row r="492" spans="1:18" x14ac:dyDescent="0.35">
      <c r="A492" s="1" t="s">
        <v>548</v>
      </c>
      <c r="B492" s="1" t="s">
        <v>32</v>
      </c>
      <c r="C492" s="1" t="s">
        <v>19</v>
      </c>
      <c r="D492" s="1" t="s">
        <v>42</v>
      </c>
      <c r="E492" s="1" t="s">
        <v>48</v>
      </c>
      <c r="F492">
        <v>121</v>
      </c>
      <c r="G492">
        <v>551</v>
      </c>
      <c r="H492" s="1" t="s">
        <v>101</v>
      </c>
      <c r="I492" s="1" t="s">
        <v>40</v>
      </c>
      <c r="J492" s="2">
        <v>45444</v>
      </c>
      <c r="K492" s="1" t="s">
        <v>24</v>
      </c>
      <c r="L492" s="1">
        <f>IF(Subscriptions[[#This Row],[churned]]="Yes",1,0)</f>
        <v>1</v>
      </c>
      <c r="M492" s="2">
        <v>45753</v>
      </c>
      <c r="N492" s="1" t="s">
        <v>25</v>
      </c>
      <c r="O492">
        <v>2</v>
      </c>
      <c r="P492">
        <v>6</v>
      </c>
      <c r="Q492">
        <v>23</v>
      </c>
      <c r="R492" s="1" t="s">
        <v>26</v>
      </c>
    </row>
    <row r="493" spans="1:18" x14ac:dyDescent="0.35">
      <c r="A493" s="1" t="s">
        <v>549</v>
      </c>
      <c r="B493" s="1" t="s">
        <v>18</v>
      </c>
      <c r="C493" s="1" t="s">
        <v>19</v>
      </c>
      <c r="D493" s="1" t="s">
        <v>33</v>
      </c>
      <c r="E493" s="1" t="s">
        <v>45</v>
      </c>
      <c r="F493">
        <v>4</v>
      </c>
      <c r="G493">
        <v>114.55</v>
      </c>
      <c r="H493" s="1" t="s">
        <v>46</v>
      </c>
      <c r="I493" s="1" t="s">
        <v>40</v>
      </c>
      <c r="J493" s="2">
        <v>44899</v>
      </c>
      <c r="K493" s="1" t="s">
        <v>24</v>
      </c>
      <c r="L493" s="1">
        <f>IF(Subscriptions[[#This Row],[churned]]="Yes",1,0)</f>
        <v>1</v>
      </c>
      <c r="M493" s="2">
        <v>45747</v>
      </c>
      <c r="N493" s="1" t="s">
        <v>59</v>
      </c>
      <c r="O493">
        <v>15</v>
      </c>
      <c r="P493">
        <v>1</v>
      </c>
      <c r="Q493">
        <v>27</v>
      </c>
      <c r="R493" s="1" t="s">
        <v>26</v>
      </c>
    </row>
    <row r="494" spans="1:18" x14ac:dyDescent="0.35">
      <c r="A494" s="1" t="s">
        <v>550</v>
      </c>
      <c r="B494" s="1" t="s">
        <v>32</v>
      </c>
      <c r="C494" s="1" t="s">
        <v>28</v>
      </c>
      <c r="D494" s="1" t="s">
        <v>33</v>
      </c>
      <c r="E494" s="1" t="s">
        <v>21</v>
      </c>
      <c r="F494">
        <v>73</v>
      </c>
      <c r="G494">
        <v>290.87</v>
      </c>
      <c r="H494" s="1" t="s">
        <v>22</v>
      </c>
      <c r="I494" s="1" t="s">
        <v>23</v>
      </c>
      <c r="J494" s="2">
        <v>45936</v>
      </c>
      <c r="K494" s="1" t="s">
        <v>26</v>
      </c>
      <c r="L494" s="1">
        <f>IF(Subscriptions[[#This Row],[churned]]="Yes",1,0)</f>
        <v>0</v>
      </c>
      <c r="M494" s="2"/>
      <c r="N494" s="1" t="s">
        <v>30</v>
      </c>
      <c r="O494">
        <v>3</v>
      </c>
      <c r="P494">
        <v>7</v>
      </c>
      <c r="Q494">
        <v>57</v>
      </c>
      <c r="R494" s="1" t="s">
        <v>26</v>
      </c>
    </row>
    <row r="495" spans="1:18" x14ac:dyDescent="0.35">
      <c r="A495" s="1" t="s">
        <v>551</v>
      </c>
      <c r="B495" s="1" t="s">
        <v>37</v>
      </c>
      <c r="C495" s="1" t="s">
        <v>19</v>
      </c>
      <c r="D495" s="1" t="s">
        <v>20</v>
      </c>
      <c r="E495" s="1" t="s">
        <v>34</v>
      </c>
      <c r="F495">
        <v>199</v>
      </c>
      <c r="G495">
        <v>6109.3</v>
      </c>
      <c r="H495" s="1" t="s">
        <v>35</v>
      </c>
      <c r="I495" s="1" t="s">
        <v>23</v>
      </c>
      <c r="J495" s="2">
        <v>44711</v>
      </c>
      <c r="K495" s="1" t="s">
        <v>24</v>
      </c>
      <c r="L495" s="1">
        <f>IF(Subscriptions[[#This Row],[churned]]="Yes",1,0)</f>
        <v>1</v>
      </c>
      <c r="M495" s="2">
        <v>45919</v>
      </c>
      <c r="N495" s="1" t="s">
        <v>85</v>
      </c>
      <c r="O495">
        <v>13</v>
      </c>
      <c r="P495">
        <v>4</v>
      </c>
      <c r="Q495">
        <v>26</v>
      </c>
      <c r="R495" s="1" t="s">
        <v>26</v>
      </c>
    </row>
    <row r="496" spans="1:18" x14ac:dyDescent="0.35">
      <c r="A496" s="1" t="s">
        <v>552</v>
      </c>
      <c r="B496" s="1" t="s">
        <v>37</v>
      </c>
      <c r="C496" s="1" t="s">
        <v>19</v>
      </c>
      <c r="D496" s="1" t="s">
        <v>55</v>
      </c>
      <c r="E496" s="1" t="s">
        <v>39</v>
      </c>
      <c r="F496">
        <v>21</v>
      </c>
      <c r="G496">
        <v>796</v>
      </c>
      <c r="H496" s="1" t="s">
        <v>63</v>
      </c>
      <c r="I496" s="1" t="s">
        <v>58</v>
      </c>
      <c r="J496" s="2">
        <v>44783</v>
      </c>
      <c r="K496" s="1" t="s">
        <v>24</v>
      </c>
      <c r="L496" s="1">
        <f>IF(Subscriptions[[#This Row],[churned]]="Yes",1,0)</f>
        <v>1</v>
      </c>
      <c r="M496" s="2">
        <v>45269</v>
      </c>
      <c r="N496" s="1" t="s">
        <v>66</v>
      </c>
      <c r="O496">
        <v>4</v>
      </c>
      <c r="P496">
        <v>1</v>
      </c>
      <c r="Q496">
        <v>13</v>
      </c>
      <c r="R496" s="1" t="s">
        <v>26</v>
      </c>
    </row>
    <row r="497" spans="1:18" x14ac:dyDescent="0.35">
      <c r="A497" s="1" t="s">
        <v>553</v>
      </c>
      <c r="B497" s="1" t="s">
        <v>32</v>
      </c>
      <c r="C497" s="1" t="s">
        <v>28</v>
      </c>
      <c r="D497" s="1" t="s">
        <v>33</v>
      </c>
      <c r="E497" s="1" t="s">
        <v>45</v>
      </c>
      <c r="F497">
        <v>4</v>
      </c>
      <c r="G497">
        <v>35.74</v>
      </c>
      <c r="H497" s="1" t="s">
        <v>46</v>
      </c>
      <c r="I497" s="1" t="s">
        <v>40</v>
      </c>
      <c r="J497" s="2">
        <v>45104</v>
      </c>
      <c r="K497" s="1" t="s">
        <v>24</v>
      </c>
      <c r="L497" s="1">
        <f>IF(Subscriptions[[#This Row],[churned]]="Yes",1,0)</f>
        <v>1</v>
      </c>
      <c r="M497" s="2">
        <v>45180</v>
      </c>
      <c r="N497" s="1" t="s">
        <v>25</v>
      </c>
      <c r="O497">
        <v>1</v>
      </c>
      <c r="P497">
        <v>1</v>
      </c>
      <c r="Q497">
        <v>39</v>
      </c>
      <c r="R497" s="1" t="s">
        <v>26</v>
      </c>
    </row>
    <row r="498" spans="1:18" x14ac:dyDescent="0.35">
      <c r="A498" s="1" t="s">
        <v>554</v>
      </c>
      <c r="B498" s="1" t="s">
        <v>74</v>
      </c>
      <c r="C498" s="1" t="s">
        <v>19</v>
      </c>
      <c r="D498" s="1" t="s">
        <v>71</v>
      </c>
      <c r="E498" s="1" t="s">
        <v>45</v>
      </c>
      <c r="F498">
        <v>4</v>
      </c>
      <c r="G498">
        <v>723.55</v>
      </c>
      <c r="H498" s="1" t="s">
        <v>63</v>
      </c>
      <c r="I498" s="1" t="s">
        <v>23</v>
      </c>
      <c r="J498" s="2">
        <v>45325</v>
      </c>
      <c r="K498" s="1" t="s">
        <v>26</v>
      </c>
      <c r="L498" s="1">
        <f>IF(Subscriptions[[#This Row],[churned]]="Yes",1,0)</f>
        <v>0</v>
      </c>
      <c r="M498" s="2"/>
      <c r="N498" s="1" t="s">
        <v>30</v>
      </c>
      <c r="O498">
        <v>0</v>
      </c>
      <c r="P498">
        <v>6</v>
      </c>
      <c r="Q498">
        <v>47</v>
      </c>
      <c r="R498" s="1" t="s">
        <v>26</v>
      </c>
    </row>
    <row r="499" spans="1:18" x14ac:dyDescent="0.35">
      <c r="A499" s="1" t="s">
        <v>555</v>
      </c>
      <c r="B499" s="1" t="s">
        <v>37</v>
      </c>
      <c r="C499" s="1" t="s">
        <v>28</v>
      </c>
      <c r="D499" s="1" t="s">
        <v>65</v>
      </c>
      <c r="E499" s="1" t="s">
        <v>39</v>
      </c>
      <c r="F499">
        <v>5</v>
      </c>
      <c r="G499">
        <v>270.64</v>
      </c>
      <c r="H499" s="1" t="s">
        <v>101</v>
      </c>
      <c r="I499" s="1" t="s">
        <v>40</v>
      </c>
      <c r="J499" s="2">
        <v>46015</v>
      </c>
      <c r="K499" s="1" t="s">
        <v>26</v>
      </c>
      <c r="L499" s="1">
        <f>IF(Subscriptions[[#This Row],[churned]]="Yes",1,0)</f>
        <v>0</v>
      </c>
      <c r="M499" s="2"/>
      <c r="N499" s="1" t="s">
        <v>30</v>
      </c>
      <c r="O499">
        <v>3</v>
      </c>
      <c r="P499">
        <v>5</v>
      </c>
      <c r="Q499">
        <v>48</v>
      </c>
      <c r="R499" s="1" t="s">
        <v>26</v>
      </c>
    </row>
    <row r="500" spans="1:18" x14ac:dyDescent="0.35">
      <c r="A500" s="1" t="s">
        <v>556</v>
      </c>
      <c r="B500" s="1" t="s">
        <v>37</v>
      </c>
      <c r="C500" s="1" t="s">
        <v>19</v>
      </c>
      <c r="D500" s="1" t="s">
        <v>65</v>
      </c>
      <c r="E500" s="1" t="s">
        <v>39</v>
      </c>
      <c r="F500">
        <v>15</v>
      </c>
      <c r="G500">
        <v>616.9</v>
      </c>
      <c r="H500" s="1" t="s">
        <v>46</v>
      </c>
      <c r="I500" s="1" t="s">
        <v>23</v>
      </c>
      <c r="J500" s="2">
        <v>45722</v>
      </c>
      <c r="K500" s="1" t="s">
        <v>26</v>
      </c>
      <c r="L500" s="1">
        <f>IF(Subscriptions[[#This Row],[churned]]="Yes",1,0)</f>
        <v>0</v>
      </c>
      <c r="M500" s="2"/>
      <c r="N500" s="1" t="s">
        <v>30</v>
      </c>
      <c r="O500">
        <v>11</v>
      </c>
      <c r="P500">
        <v>10</v>
      </c>
      <c r="Q500">
        <v>37</v>
      </c>
      <c r="R500" s="1" t="s">
        <v>26</v>
      </c>
    </row>
    <row r="501" spans="1:18" x14ac:dyDescent="0.35">
      <c r="A501" s="1" t="s">
        <v>557</v>
      </c>
      <c r="B501" s="1" t="s">
        <v>18</v>
      </c>
      <c r="C501" s="1" t="s">
        <v>19</v>
      </c>
      <c r="D501" s="1" t="s">
        <v>52</v>
      </c>
      <c r="E501" s="1" t="s">
        <v>21</v>
      </c>
      <c r="F501">
        <v>71</v>
      </c>
      <c r="G501">
        <v>908.5</v>
      </c>
      <c r="H501" s="1" t="s">
        <v>46</v>
      </c>
      <c r="I501" s="1" t="s">
        <v>23</v>
      </c>
      <c r="J501" s="2">
        <v>45989</v>
      </c>
      <c r="K501" s="1" t="s">
        <v>26</v>
      </c>
      <c r="L501" s="1">
        <f>IF(Subscriptions[[#This Row],[churned]]="Yes",1,0)</f>
        <v>0</v>
      </c>
      <c r="M501" s="2"/>
      <c r="N501" s="1" t="s">
        <v>30</v>
      </c>
      <c r="O501">
        <v>4</v>
      </c>
      <c r="P501">
        <v>5</v>
      </c>
      <c r="Q501">
        <v>70</v>
      </c>
      <c r="R501" s="1" t="s">
        <v>26</v>
      </c>
    </row>
    <row r="502" spans="1:18" x14ac:dyDescent="0.35">
      <c r="A502" s="1" t="s">
        <v>558</v>
      </c>
      <c r="B502" s="1" t="s">
        <v>32</v>
      </c>
      <c r="C502" s="1" t="s">
        <v>28</v>
      </c>
      <c r="D502" s="1" t="s">
        <v>65</v>
      </c>
      <c r="E502" s="1" t="s">
        <v>34</v>
      </c>
      <c r="F502">
        <v>144</v>
      </c>
      <c r="G502">
        <v>553.39</v>
      </c>
      <c r="H502" s="1" t="s">
        <v>35</v>
      </c>
      <c r="I502" s="1" t="s">
        <v>23</v>
      </c>
      <c r="J502" s="2">
        <v>45137</v>
      </c>
      <c r="K502" s="1" t="s">
        <v>24</v>
      </c>
      <c r="L502" s="1">
        <f>IF(Subscriptions[[#This Row],[churned]]="Yes",1,0)</f>
        <v>1</v>
      </c>
      <c r="M502" s="2">
        <v>45319</v>
      </c>
      <c r="N502" s="1" t="s">
        <v>59</v>
      </c>
      <c r="O502">
        <v>6</v>
      </c>
      <c r="P502">
        <v>3</v>
      </c>
      <c r="Q502">
        <v>45</v>
      </c>
      <c r="R502" s="1" t="s">
        <v>26</v>
      </c>
    </row>
    <row r="503" spans="1:18" x14ac:dyDescent="0.35">
      <c r="A503" s="1" t="s">
        <v>559</v>
      </c>
      <c r="B503" s="1" t="s">
        <v>18</v>
      </c>
      <c r="C503" s="1" t="s">
        <v>28</v>
      </c>
      <c r="D503" s="1" t="s">
        <v>20</v>
      </c>
      <c r="E503" s="1" t="s">
        <v>39</v>
      </c>
      <c r="F503">
        <v>32</v>
      </c>
      <c r="G503">
        <v>379.4</v>
      </c>
      <c r="H503" s="1" t="s">
        <v>46</v>
      </c>
      <c r="I503" s="1" t="s">
        <v>40</v>
      </c>
      <c r="J503" s="2">
        <v>45593</v>
      </c>
      <c r="K503" s="1" t="s">
        <v>26</v>
      </c>
      <c r="L503" s="1">
        <f>IF(Subscriptions[[#This Row],[churned]]="Yes",1,0)</f>
        <v>0</v>
      </c>
      <c r="M503" s="2"/>
      <c r="N503" s="1" t="s">
        <v>30</v>
      </c>
      <c r="O503">
        <v>5</v>
      </c>
      <c r="P503">
        <v>9</v>
      </c>
      <c r="Q503">
        <v>36</v>
      </c>
      <c r="R503" s="1" t="s">
        <v>26</v>
      </c>
    </row>
    <row r="504" spans="1:18" x14ac:dyDescent="0.35">
      <c r="A504" s="1" t="s">
        <v>560</v>
      </c>
      <c r="B504" s="1" t="s">
        <v>74</v>
      </c>
      <c r="C504" s="1" t="s">
        <v>28</v>
      </c>
      <c r="D504" s="1" t="s">
        <v>38</v>
      </c>
      <c r="E504" s="1" t="s">
        <v>39</v>
      </c>
      <c r="F504">
        <v>23</v>
      </c>
      <c r="G504">
        <v>1823.84</v>
      </c>
      <c r="H504" s="1" t="s">
        <v>22</v>
      </c>
      <c r="I504" s="1" t="s">
        <v>72</v>
      </c>
      <c r="J504" s="2">
        <v>45677</v>
      </c>
      <c r="K504" s="1" t="s">
        <v>26</v>
      </c>
      <c r="L504" s="1">
        <f>IF(Subscriptions[[#This Row],[churned]]="Yes",1,0)</f>
        <v>0</v>
      </c>
      <c r="M504" s="2"/>
      <c r="N504" s="1" t="s">
        <v>30</v>
      </c>
      <c r="O504">
        <v>10</v>
      </c>
      <c r="P504">
        <v>7</v>
      </c>
      <c r="Q504">
        <v>16</v>
      </c>
      <c r="R504" s="1" t="s">
        <v>26</v>
      </c>
    </row>
    <row r="505" spans="1:18" x14ac:dyDescent="0.35">
      <c r="A505" s="1" t="s">
        <v>561</v>
      </c>
      <c r="B505" s="1" t="s">
        <v>32</v>
      </c>
      <c r="C505" s="1" t="s">
        <v>19</v>
      </c>
      <c r="D505" s="1" t="s">
        <v>20</v>
      </c>
      <c r="E505" s="1" t="s">
        <v>39</v>
      </c>
      <c r="F505">
        <v>15</v>
      </c>
      <c r="G505">
        <v>89.9</v>
      </c>
      <c r="H505" s="1" t="s">
        <v>22</v>
      </c>
      <c r="I505" s="1" t="s">
        <v>40</v>
      </c>
      <c r="J505" s="2">
        <v>45759</v>
      </c>
      <c r="K505" s="1" t="s">
        <v>24</v>
      </c>
      <c r="L505" s="1">
        <f>IF(Subscriptions[[#This Row],[churned]]="Yes",1,0)</f>
        <v>1</v>
      </c>
      <c r="M505" s="2">
        <v>45785</v>
      </c>
      <c r="N505" s="1" t="s">
        <v>56</v>
      </c>
      <c r="O505">
        <v>14</v>
      </c>
      <c r="P505">
        <v>3</v>
      </c>
      <c r="Q505">
        <v>26</v>
      </c>
      <c r="R505" s="1" t="s">
        <v>26</v>
      </c>
    </row>
    <row r="506" spans="1:18" x14ac:dyDescent="0.35">
      <c r="A506" s="1" t="s">
        <v>562</v>
      </c>
      <c r="B506" s="1" t="s">
        <v>37</v>
      </c>
      <c r="C506" s="1" t="s">
        <v>19</v>
      </c>
      <c r="D506" s="1" t="s">
        <v>44</v>
      </c>
      <c r="E506" s="1" t="s">
        <v>21</v>
      </c>
      <c r="F506">
        <v>49</v>
      </c>
      <c r="G506">
        <v>1631.8</v>
      </c>
      <c r="H506" s="1" t="s">
        <v>46</v>
      </c>
      <c r="I506" s="1" t="s">
        <v>23</v>
      </c>
      <c r="J506" s="2">
        <v>44693</v>
      </c>
      <c r="K506" s="1" t="s">
        <v>24</v>
      </c>
      <c r="L506" s="1">
        <f>IF(Subscriptions[[#This Row],[churned]]="Yes",1,0)</f>
        <v>1</v>
      </c>
      <c r="M506" s="2">
        <v>45142</v>
      </c>
      <c r="N506" s="1" t="s">
        <v>56</v>
      </c>
      <c r="O506">
        <v>10</v>
      </c>
      <c r="P506">
        <v>6</v>
      </c>
      <c r="Q506">
        <v>16</v>
      </c>
      <c r="R506" s="1" t="s">
        <v>26</v>
      </c>
    </row>
    <row r="507" spans="1:18" x14ac:dyDescent="0.35">
      <c r="A507" s="1" t="s">
        <v>563</v>
      </c>
      <c r="B507" s="1" t="s">
        <v>32</v>
      </c>
      <c r="C507" s="1" t="s">
        <v>19</v>
      </c>
      <c r="D507" s="1" t="s">
        <v>44</v>
      </c>
      <c r="E507" s="1" t="s">
        <v>39</v>
      </c>
      <c r="F507">
        <v>26</v>
      </c>
      <c r="G507">
        <v>137.75</v>
      </c>
      <c r="H507" s="1" t="s">
        <v>22</v>
      </c>
      <c r="I507" s="1" t="s">
        <v>72</v>
      </c>
      <c r="J507" s="2">
        <v>45604</v>
      </c>
      <c r="K507" s="1" t="s">
        <v>24</v>
      </c>
      <c r="L507" s="1">
        <f>IF(Subscriptions[[#This Row],[churned]]="Yes",1,0)</f>
        <v>1</v>
      </c>
      <c r="M507" s="2">
        <v>45894</v>
      </c>
      <c r="N507" s="1" t="s">
        <v>66</v>
      </c>
      <c r="O507">
        <v>12</v>
      </c>
      <c r="P507">
        <v>2</v>
      </c>
      <c r="Q507">
        <v>26</v>
      </c>
      <c r="R507" s="1" t="s">
        <v>26</v>
      </c>
    </row>
    <row r="508" spans="1:18" x14ac:dyDescent="0.35">
      <c r="A508" s="1" t="s">
        <v>564</v>
      </c>
      <c r="B508" s="1" t="s">
        <v>37</v>
      </c>
      <c r="C508" s="1" t="s">
        <v>28</v>
      </c>
      <c r="D508" s="1" t="s">
        <v>42</v>
      </c>
      <c r="E508" s="1" t="s">
        <v>39</v>
      </c>
      <c r="F508">
        <v>35</v>
      </c>
      <c r="G508">
        <v>1031.82</v>
      </c>
      <c r="H508" s="1" t="s">
        <v>35</v>
      </c>
      <c r="I508" s="1" t="s">
        <v>23</v>
      </c>
      <c r="J508" s="2">
        <v>45768</v>
      </c>
      <c r="K508" s="1" t="s">
        <v>26</v>
      </c>
      <c r="L508" s="1">
        <f>IF(Subscriptions[[#This Row],[churned]]="Yes",1,0)</f>
        <v>0</v>
      </c>
      <c r="M508" s="2"/>
      <c r="N508" s="1" t="s">
        <v>30</v>
      </c>
      <c r="O508">
        <v>2</v>
      </c>
      <c r="P508">
        <v>6</v>
      </c>
      <c r="Q508">
        <v>70</v>
      </c>
      <c r="R508" s="1" t="s">
        <v>24</v>
      </c>
    </row>
    <row r="509" spans="1:18" x14ac:dyDescent="0.35">
      <c r="A509" s="1" t="s">
        <v>565</v>
      </c>
      <c r="B509" s="1" t="s">
        <v>32</v>
      </c>
      <c r="C509" s="1" t="s">
        <v>28</v>
      </c>
      <c r="D509" s="1" t="s">
        <v>33</v>
      </c>
      <c r="E509" s="1" t="s">
        <v>21</v>
      </c>
      <c r="F509">
        <v>54</v>
      </c>
      <c r="G509">
        <v>220.62</v>
      </c>
      <c r="H509" s="1" t="s">
        <v>46</v>
      </c>
      <c r="I509" s="1" t="s">
        <v>58</v>
      </c>
      <c r="J509" s="2">
        <v>44630</v>
      </c>
      <c r="K509" s="1" t="s">
        <v>24</v>
      </c>
      <c r="L509" s="1">
        <f>IF(Subscriptions[[#This Row],[churned]]="Yes",1,0)</f>
        <v>1</v>
      </c>
      <c r="M509" s="2">
        <v>44874</v>
      </c>
      <c r="N509" s="1" t="s">
        <v>59</v>
      </c>
      <c r="O509">
        <v>3</v>
      </c>
      <c r="P509">
        <v>2</v>
      </c>
      <c r="Q509">
        <v>33</v>
      </c>
      <c r="R509" s="1" t="s">
        <v>26</v>
      </c>
    </row>
    <row r="510" spans="1:18" x14ac:dyDescent="0.35">
      <c r="A510" s="1" t="s">
        <v>566</v>
      </c>
      <c r="B510" s="1" t="s">
        <v>32</v>
      </c>
      <c r="C510" s="1" t="s">
        <v>19</v>
      </c>
      <c r="D510" s="1" t="s">
        <v>65</v>
      </c>
      <c r="E510" s="1" t="s">
        <v>34</v>
      </c>
      <c r="F510">
        <v>56</v>
      </c>
      <c r="G510">
        <v>268.25</v>
      </c>
      <c r="H510" s="1" t="s">
        <v>46</v>
      </c>
      <c r="I510" s="1" t="s">
        <v>72</v>
      </c>
      <c r="J510" s="2">
        <v>45058</v>
      </c>
      <c r="K510" s="1" t="s">
        <v>24</v>
      </c>
      <c r="L510" s="1">
        <f>IF(Subscriptions[[#This Row],[churned]]="Yes",1,0)</f>
        <v>1</v>
      </c>
      <c r="M510" s="2">
        <v>45111</v>
      </c>
      <c r="N510" s="1" t="s">
        <v>53</v>
      </c>
      <c r="O510">
        <v>12</v>
      </c>
      <c r="P510">
        <v>2</v>
      </c>
      <c r="Q510">
        <v>17</v>
      </c>
      <c r="R510" s="1" t="s">
        <v>26</v>
      </c>
    </row>
    <row r="511" spans="1:18" x14ac:dyDescent="0.35">
      <c r="A511" s="1" t="s">
        <v>567</v>
      </c>
      <c r="B511" s="1" t="s">
        <v>37</v>
      </c>
      <c r="C511" s="1" t="s">
        <v>19</v>
      </c>
      <c r="D511" s="1" t="s">
        <v>65</v>
      </c>
      <c r="E511" s="1" t="s">
        <v>39</v>
      </c>
      <c r="F511">
        <v>27</v>
      </c>
      <c r="G511">
        <v>975.1</v>
      </c>
      <c r="H511" s="1" t="s">
        <v>46</v>
      </c>
      <c r="I511" s="1" t="s">
        <v>58</v>
      </c>
      <c r="J511" s="2">
        <v>45530</v>
      </c>
      <c r="K511" s="1" t="s">
        <v>24</v>
      </c>
      <c r="L511" s="1">
        <f>IF(Subscriptions[[#This Row],[churned]]="Yes",1,0)</f>
        <v>1</v>
      </c>
      <c r="M511" s="2">
        <v>45754</v>
      </c>
      <c r="N511" s="1" t="s">
        <v>53</v>
      </c>
      <c r="O511">
        <v>9</v>
      </c>
      <c r="P511">
        <v>2</v>
      </c>
      <c r="Q511">
        <v>24</v>
      </c>
      <c r="R511" s="1" t="s">
        <v>26</v>
      </c>
    </row>
    <row r="512" spans="1:18" x14ac:dyDescent="0.35">
      <c r="A512" s="1" t="s">
        <v>568</v>
      </c>
      <c r="B512" s="1" t="s">
        <v>18</v>
      </c>
      <c r="C512" s="1" t="s">
        <v>19</v>
      </c>
      <c r="D512" s="1" t="s">
        <v>65</v>
      </c>
      <c r="E512" s="1" t="s">
        <v>39</v>
      </c>
      <c r="F512">
        <v>25</v>
      </c>
      <c r="G512">
        <v>363.4</v>
      </c>
      <c r="H512" s="1" t="s">
        <v>63</v>
      </c>
      <c r="I512" s="1" t="s">
        <v>23</v>
      </c>
      <c r="J512" s="2">
        <v>45923</v>
      </c>
      <c r="K512" s="1" t="s">
        <v>26</v>
      </c>
      <c r="L512" s="1">
        <f>IF(Subscriptions[[#This Row],[churned]]="Yes",1,0)</f>
        <v>0</v>
      </c>
      <c r="M512" s="2"/>
      <c r="N512" s="1" t="s">
        <v>30</v>
      </c>
      <c r="O512">
        <v>6</v>
      </c>
      <c r="P512">
        <v>4</v>
      </c>
      <c r="Q512">
        <v>30</v>
      </c>
      <c r="R512" s="1" t="s">
        <v>26</v>
      </c>
    </row>
    <row r="513" spans="1:18" x14ac:dyDescent="0.35">
      <c r="A513" s="1" t="s">
        <v>569</v>
      </c>
      <c r="B513" s="1" t="s">
        <v>32</v>
      </c>
      <c r="C513" s="1" t="s">
        <v>28</v>
      </c>
      <c r="D513" s="1" t="s">
        <v>82</v>
      </c>
      <c r="E513" s="1" t="s">
        <v>21</v>
      </c>
      <c r="F513">
        <v>26</v>
      </c>
      <c r="G513">
        <v>117.09</v>
      </c>
      <c r="H513" s="1" t="s">
        <v>46</v>
      </c>
      <c r="I513" s="1" t="s">
        <v>40</v>
      </c>
      <c r="J513" s="2">
        <v>44943</v>
      </c>
      <c r="K513" s="1" t="s">
        <v>24</v>
      </c>
      <c r="L513" s="1">
        <f>IF(Subscriptions[[#This Row],[churned]]="Yes",1,0)</f>
        <v>1</v>
      </c>
      <c r="M513" s="2">
        <v>45085</v>
      </c>
      <c r="N513" s="1" t="s">
        <v>56</v>
      </c>
      <c r="O513">
        <v>15</v>
      </c>
      <c r="P513">
        <v>2</v>
      </c>
      <c r="Q513">
        <v>36</v>
      </c>
      <c r="R513" s="1" t="s">
        <v>26</v>
      </c>
    </row>
    <row r="514" spans="1:18" x14ac:dyDescent="0.35">
      <c r="A514" s="1" t="s">
        <v>570</v>
      </c>
      <c r="B514" s="1" t="s">
        <v>18</v>
      </c>
      <c r="C514" s="1" t="s">
        <v>28</v>
      </c>
      <c r="D514" s="1" t="s">
        <v>65</v>
      </c>
      <c r="E514" s="1" t="s">
        <v>45</v>
      </c>
      <c r="F514">
        <v>8</v>
      </c>
      <c r="G514">
        <v>137.66</v>
      </c>
      <c r="H514" s="1" t="s">
        <v>46</v>
      </c>
      <c r="I514" s="1" t="s">
        <v>23</v>
      </c>
      <c r="J514" s="2">
        <v>45311</v>
      </c>
      <c r="K514" s="1" t="s">
        <v>24</v>
      </c>
      <c r="L514" s="1">
        <f>IF(Subscriptions[[#This Row],[churned]]="Yes",1,0)</f>
        <v>1</v>
      </c>
      <c r="M514" s="2">
        <v>45323</v>
      </c>
      <c r="N514" s="1" t="s">
        <v>59</v>
      </c>
      <c r="O514">
        <v>6</v>
      </c>
      <c r="P514">
        <v>5</v>
      </c>
      <c r="Q514">
        <v>13</v>
      </c>
      <c r="R514" s="1" t="s">
        <v>26</v>
      </c>
    </row>
    <row r="515" spans="1:18" x14ac:dyDescent="0.35">
      <c r="A515" s="1" t="s">
        <v>571</v>
      </c>
      <c r="B515" s="1" t="s">
        <v>37</v>
      </c>
      <c r="C515" s="1" t="s">
        <v>19</v>
      </c>
      <c r="D515" s="1" t="s">
        <v>33</v>
      </c>
      <c r="E515" s="1" t="s">
        <v>48</v>
      </c>
      <c r="F515">
        <v>68</v>
      </c>
      <c r="G515">
        <v>2198.9499999999998</v>
      </c>
      <c r="H515" s="1" t="s">
        <v>63</v>
      </c>
      <c r="I515" s="1" t="s">
        <v>72</v>
      </c>
      <c r="J515" s="2">
        <v>45318</v>
      </c>
      <c r="K515" s="1" t="s">
        <v>24</v>
      </c>
      <c r="L515" s="1">
        <f>IF(Subscriptions[[#This Row],[churned]]="Yes",1,0)</f>
        <v>1</v>
      </c>
      <c r="M515" s="2">
        <v>45462</v>
      </c>
      <c r="N515" s="1" t="s">
        <v>56</v>
      </c>
      <c r="O515">
        <v>15</v>
      </c>
      <c r="P515">
        <v>1</v>
      </c>
      <c r="Q515">
        <v>19</v>
      </c>
      <c r="R515" s="1" t="s">
        <v>26</v>
      </c>
    </row>
    <row r="516" spans="1:18" x14ac:dyDescent="0.35">
      <c r="A516" s="1" t="s">
        <v>572</v>
      </c>
      <c r="B516" s="1" t="s">
        <v>74</v>
      </c>
      <c r="C516" s="1" t="s">
        <v>19</v>
      </c>
      <c r="D516" s="1" t="s">
        <v>33</v>
      </c>
      <c r="E516" s="1" t="s">
        <v>45</v>
      </c>
      <c r="F516">
        <v>2</v>
      </c>
      <c r="G516">
        <v>573.85</v>
      </c>
      <c r="H516" s="1" t="s">
        <v>22</v>
      </c>
      <c r="I516" s="1" t="s">
        <v>23</v>
      </c>
      <c r="J516" s="2">
        <v>44652</v>
      </c>
      <c r="K516" s="1" t="s">
        <v>26</v>
      </c>
      <c r="L516" s="1">
        <f>IF(Subscriptions[[#This Row],[churned]]="Yes",1,0)</f>
        <v>0</v>
      </c>
      <c r="M516" s="2"/>
      <c r="N516" s="1" t="s">
        <v>30</v>
      </c>
      <c r="O516">
        <v>7</v>
      </c>
      <c r="P516">
        <v>8</v>
      </c>
      <c r="Q516">
        <v>28</v>
      </c>
      <c r="R516" s="1" t="s">
        <v>26</v>
      </c>
    </row>
    <row r="517" spans="1:18" x14ac:dyDescent="0.35">
      <c r="A517" s="1" t="s">
        <v>573</v>
      </c>
      <c r="B517" s="1" t="s">
        <v>37</v>
      </c>
      <c r="C517" s="1" t="s">
        <v>19</v>
      </c>
      <c r="D517" s="1" t="s">
        <v>65</v>
      </c>
      <c r="E517" s="1" t="s">
        <v>21</v>
      </c>
      <c r="F517">
        <v>42</v>
      </c>
      <c r="G517">
        <v>1422.85</v>
      </c>
      <c r="H517" s="1" t="s">
        <v>35</v>
      </c>
      <c r="I517" s="1" t="s">
        <v>40</v>
      </c>
      <c r="J517" s="2">
        <v>45612</v>
      </c>
      <c r="K517" s="1" t="s">
        <v>26</v>
      </c>
      <c r="L517" s="1">
        <f>IF(Subscriptions[[#This Row],[churned]]="Yes",1,0)</f>
        <v>0</v>
      </c>
      <c r="M517" s="2"/>
      <c r="N517" s="1" t="s">
        <v>30</v>
      </c>
      <c r="O517">
        <v>10</v>
      </c>
      <c r="P517">
        <v>2</v>
      </c>
      <c r="Q517">
        <v>17</v>
      </c>
      <c r="R517" s="1" t="s">
        <v>26</v>
      </c>
    </row>
    <row r="518" spans="1:18" x14ac:dyDescent="0.35">
      <c r="A518" s="1" t="s">
        <v>574</v>
      </c>
      <c r="B518" s="1" t="s">
        <v>18</v>
      </c>
      <c r="C518" s="1" t="s">
        <v>19</v>
      </c>
      <c r="D518" s="1" t="s">
        <v>55</v>
      </c>
      <c r="E518" s="1" t="s">
        <v>21</v>
      </c>
      <c r="F518">
        <v>59</v>
      </c>
      <c r="G518">
        <v>766.3</v>
      </c>
      <c r="H518" s="1" t="s">
        <v>101</v>
      </c>
      <c r="I518" s="1" t="s">
        <v>40</v>
      </c>
      <c r="J518" s="2">
        <v>45412</v>
      </c>
      <c r="K518" s="1" t="s">
        <v>24</v>
      </c>
      <c r="L518" s="1">
        <f>IF(Subscriptions[[#This Row],[churned]]="Yes",1,0)</f>
        <v>1</v>
      </c>
      <c r="M518" s="2">
        <v>45579</v>
      </c>
      <c r="N518" s="1" t="s">
        <v>59</v>
      </c>
      <c r="O518">
        <v>12</v>
      </c>
      <c r="P518">
        <v>4</v>
      </c>
      <c r="Q518">
        <v>42</v>
      </c>
      <c r="R518" s="1" t="s">
        <v>26</v>
      </c>
    </row>
    <row r="519" spans="1:18" x14ac:dyDescent="0.35">
      <c r="A519" s="1" t="s">
        <v>575</v>
      </c>
      <c r="B519" s="1" t="s">
        <v>32</v>
      </c>
      <c r="C519" s="1" t="s">
        <v>28</v>
      </c>
      <c r="D519" s="1" t="s">
        <v>42</v>
      </c>
      <c r="E519" s="1" t="s">
        <v>39</v>
      </c>
      <c r="F519">
        <v>21</v>
      </c>
      <c r="G519">
        <v>98.6</v>
      </c>
      <c r="H519" s="1" t="s">
        <v>63</v>
      </c>
      <c r="I519" s="1" t="s">
        <v>23</v>
      </c>
      <c r="J519" s="2">
        <v>45797</v>
      </c>
      <c r="K519" s="1" t="s">
        <v>26</v>
      </c>
      <c r="L519" s="1">
        <f>IF(Subscriptions[[#This Row],[churned]]="Yes",1,0)</f>
        <v>0</v>
      </c>
      <c r="M519" s="2"/>
      <c r="N519" s="1" t="s">
        <v>30</v>
      </c>
      <c r="O519">
        <v>4</v>
      </c>
      <c r="P519">
        <v>7</v>
      </c>
      <c r="Q519">
        <v>71</v>
      </c>
      <c r="R519" s="1" t="s">
        <v>26</v>
      </c>
    </row>
    <row r="520" spans="1:18" x14ac:dyDescent="0.35">
      <c r="A520" s="1" t="s">
        <v>576</v>
      </c>
      <c r="B520" s="1" t="s">
        <v>37</v>
      </c>
      <c r="C520" s="1" t="s">
        <v>28</v>
      </c>
      <c r="D520" s="1" t="s">
        <v>52</v>
      </c>
      <c r="E520" s="1" t="s">
        <v>39</v>
      </c>
      <c r="F520">
        <v>34</v>
      </c>
      <c r="G520">
        <v>1006.44</v>
      </c>
      <c r="H520" s="1" t="s">
        <v>63</v>
      </c>
      <c r="I520" s="1" t="s">
        <v>58</v>
      </c>
      <c r="J520" s="2">
        <v>44791</v>
      </c>
      <c r="K520" s="1" t="s">
        <v>26</v>
      </c>
      <c r="L520" s="1">
        <f>IF(Subscriptions[[#This Row],[churned]]="Yes",1,0)</f>
        <v>0</v>
      </c>
      <c r="M520" s="2"/>
      <c r="N520" s="1" t="s">
        <v>30</v>
      </c>
      <c r="O520">
        <v>10</v>
      </c>
      <c r="P520">
        <v>4</v>
      </c>
      <c r="Q520">
        <v>84</v>
      </c>
      <c r="R520" s="1" t="s">
        <v>26</v>
      </c>
    </row>
    <row r="521" spans="1:18" x14ac:dyDescent="0.35">
      <c r="A521" s="1" t="s">
        <v>577</v>
      </c>
      <c r="B521" s="1" t="s">
        <v>18</v>
      </c>
      <c r="C521" s="1" t="s">
        <v>19</v>
      </c>
      <c r="D521" s="1" t="s">
        <v>55</v>
      </c>
      <c r="E521" s="1" t="s">
        <v>39</v>
      </c>
      <c r="F521">
        <v>31</v>
      </c>
      <c r="G521">
        <v>434.5</v>
      </c>
      <c r="H521" s="1" t="s">
        <v>63</v>
      </c>
      <c r="I521" s="1" t="s">
        <v>40</v>
      </c>
      <c r="J521" s="2">
        <v>44724</v>
      </c>
      <c r="K521" s="1" t="s">
        <v>24</v>
      </c>
      <c r="L521" s="1">
        <f>IF(Subscriptions[[#This Row],[churned]]="Yes",1,0)</f>
        <v>1</v>
      </c>
      <c r="M521" s="2">
        <v>45412</v>
      </c>
      <c r="N521" s="1" t="s">
        <v>53</v>
      </c>
      <c r="O521">
        <v>10</v>
      </c>
      <c r="P521">
        <v>4</v>
      </c>
      <c r="Q521">
        <v>20</v>
      </c>
      <c r="R521" s="1" t="s">
        <v>26</v>
      </c>
    </row>
    <row r="522" spans="1:18" x14ac:dyDescent="0.35">
      <c r="A522" s="1" t="s">
        <v>578</v>
      </c>
      <c r="B522" s="1" t="s">
        <v>74</v>
      </c>
      <c r="C522" s="1" t="s">
        <v>19</v>
      </c>
      <c r="D522" s="1" t="s">
        <v>33</v>
      </c>
      <c r="E522" s="1" t="s">
        <v>45</v>
      </c>
      <c r="F522">
        <v>4</v>
      </c>
      <c r="G522">
        <v>723.55</v>
      </c>
      <c r="H522" s="1" t="s">
        <v>22</v>
      </c>
      <c r="I522" s="1" t="s">
        <v>58</v>
      </c>
      <c r="J522" s="2">
        <v>45505</v>
      </c>
      <c r="K522" s="1" t="s">
        <v>24</v>
      </c>
      <c r="L522" s="1">
        <f>IF(Subscriptions[[#This Row],[churned]]="Yes",1,0)</f>
        <v>1</v>
      </c>
      <c r="M522" s="2">
        <v>45787</v>
      </c>
      <c r="N522" s="1" t="s">
        <v>59</v>
      </c>
      <c r="O522">
        <v>5</v>
      </c>
      <c r="P522">
        <v>6</v>
      </c>
      <c r="Q522">
        <v>31</v>
      </c>
      <c r="R522" s="1" t="s">
        <v>26</v>
      </c>
    </row>
    <row r="523" spans="1:18" x14ac:dyDescent="0.35">
      <c r="A523" s="1" t="s">
        <v>579</v>
      </c>
      <c r="B523" s="1" t="s">
        <v>74</v>
      </c>
      <c r="C523" s="1" t="s">
        <v>19</v>
      </c>
      <c r="D523" s="1" t="s">
        <v>44</v>
      </c>
      <c r="E523" s="1" t="s">
        <v>45</v>
      </c>
      <c r="F523">
        <v>7</v>
      </c>
      <c r="G523">
        <v>948.1</v>
      </c>
      <c r="H523" s="1" t="s">
        <v>29</v>
      </c>
      <c r="I523" s="1" t="s">
        <v>58</v>
      </c>
      <c r="J523" s="2">
        <v>45103</v>
      </c>
      <c r="K523" s="1" t="s">
        <v>26</v>
      </c>
      <c r="L523" s="1">
        <f>IF(Subscriptions[[#This Row],[churned]]="Yes",1,0)</f>
        <v>0</v>
      </c>
      <c r="M523" s="2"/>
      <c r="N523" s="1" t="s">
        <v>30</v>
      </c>
      <c r="O523">
        <v>0</v>
      </c>
      <c r="P523">
        <v>5</v>
      </c>
      <c r="Q523">
        <v>83</v>
      </c>
      <c r="R523" s="1" t="s">
        <v>26</v>
      </c>
    </row>
    <row r="524" spans="1:18" x14ac:dyDescent="0.35">
      <c r="A524" s="1" t="s">
        <v>580</v>
      </c>
      <c r="B524" s="1" t="s">
        <v>37</v>
      </c>
      <c r="C524" s="1" t="s">
        <v>19</v>
      </c>
      <c r="D524" s="1" t="s">
        <v>55</v>
      </c>
      <c r="E524" s="1" t="s">
        <v>45</v>
      </c>
      <c r="F524">
        <v>7</v>
      </c>
      <c r="G524">
        <v>378.1</v>
      </c>
      <c r="H524" s="1" t="s">
        <v>35</v>
      </c>
      <c r="I524" s="1" t="s">
        <v>40</v>
      </c>
      <c r="J524" s="2">
        <v>45298</v>
      </c>
      <c r="K524" s="1" t="s">
        <v>24</v>
      </c>
      <c r="L524" s="1">
        <f>IF(Subscriptions[[#This Row],[churned]]="Yes",1,0)</f>
        <v>1</v>
      </c>
      <c r="M524" s="2">
        <v>45773</v>
      </c>
      <c r="N524" s="1" t="s">
        <v>85</v>
      </c>
      <c r="O524">
        <v>0</v>
      </c>
      <c r="P524">
        <v>1</v>
      </c>
      <c r="Q524">
        <v>36</v>
      </c>
      <c r="R524" s="1" t="s">
        <v>26</v>
      </c>
    </row>
    <row r="525" spans="1:18" x14ac:dyDescent="0.35">
      <c r="A525" s="1" t="s">
        <v>581</v>
      </c>
      <c r="B525" s="1" t="s">
        <v>18</v>
      </c>
      <c r="C525" s="1" t="s">
        <v>19</v>
      </c>
      <c r="D525" s="1" t="s">
        <v>52</v>
      </c>
      <c r="E525" s="1" t="s">
        <v>21</v>
      </c>
      <c r="F525">
        <v>59</v>
      </c>
      <c r="G525">
        <v>766.3</v>
      </c>
      <c r="H525" s="1" t="s">
        <v>35</v>
      </c>
      <c r="I525" s="1" t="s">
        <v>23</v>
      </c>
      <c r="J525" s="2">
        <v>44599</v>
      </c>
      <c r="K525" s="1" t="s">
        <v>26</v>
      </c>
      <c r="L525" s="1">
        <f>IF(Subscriptions[[#This Row],[churned]]="Yes",1,0)</f>
        <v>0</v>
      </c>
      <c r="M525" s="2"/>
      <c r="N525" s="1" t="s">
        <v>30</v>
      </c>
      <c r="O525">
        <v>2</v>
      </c>
      <c r="P525">
        <v>7</v>
      </c>
      <c r="Q525">
        <v>51</v>
      </c>
      <c r="R525" s="1" t="s">
        <v>26</v>
      </c>
    </row>
    <row r="526" spans="1:18" x14ac:dyDescent="0.35">
      <c r="A526" s="1" t="s">
        <v>582</v>
      </c>
      <c r="B526" s="1" t="s">
        <v>74</v>
      </c>
      <c r="C526" s="1" t="s">
        <v>28</v>
      </c>
      <c r="D526" s="1" t="s">
        <v>42</v>
      </c>
      <c r="E526" s="1" t="s">
        <v>45</v>
      </c>
      <c r="F526">
        <v>1</v>
      </c>
      <c r="G526">
        <v>424.15</v>
      </c>
      <c r="H526" s="1" t="s">
        <v>63</v>
      </c>
      <c r="I526" s="1" t="s">
        <v>72</v>
      </c>
      <c r="J526" s="2">
        <v>44774</v>
      </c>
      <c r="K526" s="1" t="s">
        <v>26</v>
      </c>
      <c r="L526" s="1">
        <f>IF(Subscriptions[[#This Row],[churned]]="Yes",1,0)</f>
        <v>0</v>
      </c>
      <c r="M526" s="2"/>
      <c r="N526" s="1" t="s">
        <v>30</v>
      </c>
      <c r="O526">
        <v>2</v>
      </c>
      <c r="P526">
        <v>1</v>
      </c>
      <c r="Q526">
        <v>65</v>
      </c>
      <c r="R526" s="1" t="s">
        <v>26</v>
      </c>
    </row>
    <row r="527" spans="1:18" x14ac:dyDescent="0.35">
      <c r="A527" s="1" t="s">
        <v>583</v>
      </c>
      <c r="B527" s="1" t="s">
        <v>18</v>
      </c>
      <c r="C527" s="1" t="s">
        <v>19</v>
      </c>
      <c r="D527" s="1" t="s">
        <v>38</v>
      </c>
      <c r="E527" s="1" t="s">
        <v>45</v>
      </c>
      <c r="F527">
        <v>8</v>
      </c>
      <c r="G527">
        <v>161.94999999999999</v>
      </c>
      <c r="H527" s="1" t="s">
        <v>63</v>
      </c>
      <c r="I527" s="1" t="s">
        <v>72</v>
      </c>
      <c r="J527" s="2">
        <v>45047</v>
      </c>
      <c r="K527" s="1" t="s">
        <v>24</v>
      </c>
      <c r="L527" s="1">
        <f>IF(Subscriptions[[#This Row],[churned]]="Yes",1,0)</f>
        <v>1</v>
      </c>
      <c r="M527" s="2">
        <v>45101</v>
      </c>
      <c r="N527" s="1" t="s">
        <v>56</v>
      </c>
      <c r="O527">
        <v>3</v>
      </c>
      <c r="P527">
        <v>1</v>
      </c>
      <c r="Q527">
        <v>27</v>
      </c>
      <c r="R527" s="1" t="s">
        <v>26</v>
      </c>
    </row>
    <row r="528" spans="1:18" x14ac:dyDescent="0.35">
      <c r="A528" s="1" t="s">
        <v>584</v>
      </c>
      <c r="B528" s="1" t="s">
        <v>37</v>
      </c>
      <c r="C528" s="1" t="s">
        <v>28</v>
      </c>
      <c r="D528" s="1" t="s">
        <v>52</v>
      </c>
      <c r="E528" s="1" t="s">
        <v>48</v>
      </c>
      <c r="F528">
        <v>50</v>
      </c>
      <c r="G528">
        <v>1412.4</v>
      </c>
      <c r="H528" s="1" t="s">
        <v>63</v>
      </c>
      <c r="I528" s="1" t="s">
        <v>40</v>
      </c>
      <c r="J528" s="2">
        <v>45943</v>
      </c>
      <c r="K528" s="1" t="s">
        <v>26</v>
      </c>
      <c r="L528" s="1">
        <f>IF(Subscriptions[[#This Row],[churned]]="Yes",1,0)</f>
        <v>0</v>
      </c>
      <c r="M528" s="2"/>
      <c r="N528" s="1" t="s">
        <v>30</v>
      </c>
      <c r="O528">
        <v>12</v>
      </c>
      <c r="P528">
        <v>5</v>
      </c>
      <c r="Q528">
        <v>91</v>
      </c>
      <c r="R528" s="1" t="s">
        <v>26</v>
      </c>
    </row>
    <row r="529" spans="1:18" x14ac:dyDescent="0.35">
      <c r="A529" s="1" t="s">
        <v>585</v>
      </c>
      <c r="B529" s="1" t="s">
        <v>32</v>
      </c>
      <c r="C529" s="1" t="s">
        <v>19</v>
      </c>
      <c r="D529" s="1" t="s">
        <v>71</v>
      </c>
      <c r="E529" s="1" t="s">
        <v>45</v>
      </c>
      <c r="F529">
        <v>7</v>
      </c>
      <c r="G529">
        <v>55.1</v>
      </c>
      <c r="H529" s="1" t="s">
        <v>46</v>
      </c>
      <c r="I529" s="1" t="s">
        <v>58</v>
      </c>
      <c r="J529" s="2">
        <v>45276</v>
      </c>
      <c r="K529" s="1" t="s">
        <v>24</v>
      </c>
      <c r="L529" s="1">
        <f>IF(Subscriptions[[#This Row],[churned]]="Yes",1,0)</f>
        <v>1</v>
      </c>
      <c r="M529" s="2">
        <v>45871</v>
      </c>
      <c r="N529" s="1" t="s">
        <v>59</v>
      </c>
      <c r="O529">
        <v>6</v>
      </c>
      <c r="P529">
        <v>3</v>
      </c>
      <c r="Q529">
        <v>36</v>
      </c>
      <c r="R529" s="1" t="s">
        <v>26</v>
      </c>
    </row>
    <row r="530" spans="1:18" x14ac:dyDescent="0.35">
      <c r="A530" s="1" t="s">
        <v>586</v>
      </c>
      <c r="B530" s="1" t="s">
        <v>37</v>
      </c>
      <c r="C530" s="1" t="s">
        <v>28</v>
      </c>
      <c r="D530" s="1" t="s">
        <v>82</v>
      </c>
      <c r="E530" s="1" t="s">
        <v>21</v>
      </c>
      <c r="F530">
        <v>49</v>
      </c>
      <c r="G530">
        <v>1387.03</v>
      </c>
      <c r="H530" s="1" t="s">
        <v>46</v>
      </c>
      <c r="I530" s="1" t="s">
        <v>72</v>
      </c>
      <c r="J530" s="2">
        <v>45714</v>
      </c>
      <c r="K530" s="1" t="s">
        <v>26</v>
      </c>
      <c r="L530" s="1">
        <f>IF(Subscriptions[[#This Row],[churned]]="Yes",1,0)</f>
        <v>0</v>
      </c>
      <c r="M530" s="2"/>
      <c r="N530" s="1" t="s">
        <v>30</v>
      </c>
      <c r="O530">
        <v>12</v>
      </c>
      <c r="P530">
        <v>9</v>
      </c>
      <c r="Q530">
        <v>82</v>
      </c>
      <c r="R530" s="1" t="s">
        <v>26</v>
      </c>
    </row>
    <row r="531" spans="1:18" x14ac:dyDescent="0.35">
      <c r="A531" s="1" t="s">
        <v>587</v>
      </c>
      <c r="B531" s="1" t="s">
        <v>74</v>
      </c>
      <c r="C531" s="1" t="s">
        <v>19</v>
      </c>
      <c r="D531" s="1" t="s">
        <v>71</v>
      </c>
      <c r="E531" s="1" t="s">
        <v>39</v>
      </c>
      <c r="F531">
        <v>31</v>
      </c>
      <c r="G531">
        <v>2744.5</v>
      </c>
      <c r="H531" s="1" t="s">
        <v>35</v>
      </c>
      <c r="I531" s="1" t="s">
        <v>40</v>
      </c>
      <c r="J531" s="2">
        <v>45044</v>
      </c>
      <c r="K531" s="1" t="s">
        <v>26</v>
      </c>
      <c r="L531" s="1">
        <f>IF(Subscriptions[[#This Row],[churned]]="Yes",1,0)</f>
        <v>0</v>
      </c>
      <c r="M531" s="2"/>
      <c r="N531" s="1" t="s">
        <v>30</v>
      </c>
      <c r="O531">
        <v>11</v>
      </c>
      <c r="P531">
        <v>3</v>
      </c>
      <c r="Q531">
        <v>15</v>
      </c>
      <c r="R531" s="1" t="s">
        <v>26</v>
      </c>
    </row>
    <row r="532" spans="1:18" x14ac:dyDescent="0.35">
      <c r="A532" s="1" t="s">
        <v>588</v>
      </c>
      <c r="B532" s="1" t="s">
        <v>18</v>
      </c>
      <c r="C532" s="1" t="s">
        <v>19</v>
      </c>
      <c r="D532" s="1" t="s">
        <v>38</v>
      </c>
      <c r="E532" s="1" t="s">
        <v>39</v>
      </c>
      <c r="F532">
        <v>20</v>
      </c>
      <c r="G532">
        <v>304.14999999999998</v>
      </c>
      <c r="H532" s="1" t="s">
        <v>22</v>
      </c>
      <c r="I532" s="1" t="s">
        <v>23</v>
      </c>
      <c r="J532" s="2">
        <v>45150</v>
      </c>
      <c r="K532" s="1" t="s">
        <v>26</v>
      </c>
      <c r="L532" s="1">
        <f>IF(Subscriptions[[#This Row],[churned]]="Yes",1,0)</f>
        <v>0</v>
      </c>
      <c r="M532" s="2"/>
      <c r="N532" s="1" t="s">
        <v>30</v>
      </c>
      <c r="O532">
        <v>10</v>
      </c>
      <c r="P532">
        <v>1</v>
      </c>
      <c r="Q532">
        <v>76</v>
      </c>
      <c r="R532" s="1" t="s">
        <v>26</v>
      </c>
    </row>
    <row r="533" spans="1:18" x14ac:dyDescent="0.35">
      <c r="A533" s="1" t="s">
        <v>589</v>
      </c>
      <c r="B533" s="1" t="s">
        <v>32</v>
      </c>
      <c r="C533" s="1" t="s">
        <v>28</v>
      </c>
      <c r="D533" s="1" t="s">
        <v>71</v>
      </c>
      <c r="E533" s="1" t="s">
        <v>21</v>
      </c>
      <c r="F533">
        <v>67</v>
      </c>
      <c r="G533">
        <v>268.69</v>
      </c>
      <c r="H533" s="1" t="s">
        <v>35</v>
      </c>
      <c r="I533" s="1" t="s">
        <v>58</v>
      </c>
      <c r="J533" s="2">
        <v>45523</v>
      </c>
      <c r="K533" s="1" t="s">
        <v>26</v>
      </c>
      <c r="L533" s="1">
        <f>IF(Subscriptions[[#This Row],[churned]]="Yes",1,0)</f>
        <v>0</v>
      </c>
      <c r="M533" s="2"/>
      <c r="N533" s="1" t="s">
        <v>30</v>
      </c>
      <c r="O533">
        <v>3</v>
      </c>
      <c r="P533">
        <v>6</v>
      </c>
      <c r="Q533">
        <v>55</v>
      </c>
      <c r="R533" s="1" t="s">
        <v>26</v>
      </c>
    </row>
    <row r="534" spans="1:18" x14ac:dyDescent="0.35">
      <c r="A534" s="1" t="s">
        <v>590</v>
      </c>
      <c r="B534" s="1" t="s">
        <v>74</v>
      </c>
      <c r="C534" s="1" t="s">
        <v>19</v>
      </c>
      <c r="D534" s="1" t="s">
        <v>55</v>
      </c>
      <c r="E534" s="1" t="s">
        <v>48</v>
      </c>
      <c r="F534">
        <v>85</v>
      </c>
      <c r="G534">
        <v>6786.4</v>
      </c>
      <c r="H534" s="1" t="s">
        <v>29</v>
      </c>
      <c r="I534" s="1" t="s">
        <v>40</v>
      </c>
      <c r="J534" s="2">
        <v>45490</v>
      </c>
      <c r="K534" s="1" t="s">
        <v>26</v>
      </c>
      <c r="L534" s="1">
        <f>IF(Subscriptions[[#This Row],[churned]]="Yes",1,0)</f>
        <v>0</v>
      </c>
      <c r="M534" s="2"/>
      <c r="N534" s="1" t="s">
        <v>30</v>
      </c>
      <c r="O534">
        <v>4</v>
      </c>
      <c r="P534">
        <v>7</v>
      </c>
      <c r="Q534">
        <v>54</v>
      </c>
      <c r="R534" s="1" t="s">
        <v>24</v>
      </c>
    </row>
    <row r="535" spans="1:18" x14ac:dyDescent="0.35">
      <c r="A535" s="1" t="s">
        <v>591</v>
      </c>
      <c r="B535" s="1" t="s">
        <v>32</v>
      </c>
      <c r="C535" s="1" t="s">
        <v>19</v>
      </c>
      <c r="D535" s="1" t="s">
        <v>38</v>
      </c>
      <c r="E535" s="1" t="s">
        <v>45</v>
      </c>
      <c r="F535">
        <v>2</v>
      </c>
      <c r="G535">
        <v>33.35</v>
      </c>
      <c r="H535" s="1" t="s">
        <v>22</v>
      </c>
      <c r="I535" s="1" t="s">
        <v>58</v>
      </c>
      <c r="J535" s="2">
        <v>45094</v>
      </c>
      <c r="K535" s="1" t="s">
        <v>24</v>
      </c>
      <c r="L535" s="1">
        <f>IF(Subscriptions[[#This Row],[churned]]="Yes",1,0)</f>
        <v>1</v>
      </c>
      <c r="M535" s="2">
        <v>45134</v>
      </c>
      <c r="N535" s="1" t="s">
        <v>59</v>
      </c>
      <c r="O535">
        <v>13</v>
      </c>
      <c r="P535">
        <v>2</v>
      </c>
      <c r="Q535">
        <v>17</v>
      </c>
      <c r="R535" s="1" t="s">
        <v>26</v>
      </c>
    </row>
    <row r="536" spans="1:18" x14ac:dyDescent="0.35">
      <c r="A536" s="1" t="s">
        <v>592</v>
      </c>
      <c r="B536" s="1" t="s">
        <v>74</v>
      </c>
      <c r="C536" s="1" t="s">
        <v>28</v>
      </c>
      <c r="D536" s="1" t="s">
        <v>33</v>
      </c>
      <c r="E536" s="1" t="s">
        <v>48</v>
      </c>
      <c r="F536">
        <v>52</v>
      </c>
      <c r="G536">
        <v>3668.9</v>
      </c>
      <c r="H536" s="1" t="s">
        <v>46</v>
      </c>
      <c r="I536" s="1" t="s">
        <v>40</v>
      </c>
      <c r="J536" s="2">
        <v>45498</v>
      </c>
      <c r="K536" s="1" t="s">
        <v>26</v>
      </c>
      <c r="L536" s="1">
        <f>IF(Subscriptions[[#This Row],[churned]]="Yes",1,0)</f>
        <v>0</v>
      </c>
      <c r="M536" s="2"/>
      <c r="N536" s="1" t="s">
        <v>30</v>
      </c>
      <c r="O536">
        <v>9</v>
      </c>
      <c r="P536">
        <v>7</v>
      </c>
      <c r="Q536">
        <v>93</v>
      </c>
      <c r="R536" s="1" t="s">
        <v>26</v>
      </c>
    </row>
    <row r="537" spans="1:18" x14ac:dyDescent="0.35">
      <c r="A537" s="1" t="s">
        <v>593</v>
      </c>
      <c r="B537" s="1" t="s">
        <v>32</v>
      </c>
      <c r="C537" s="1" t="s">
        <v>28</v>
      </c>
      <c r="D537" s="1" t="s">
        <v>38</v>
      </c>
      <c r="E537" s="1" t="s">
        <v>21</v>
      </c>
      <c r="F537">
        <v>58</v>
      </c>
      <c r="G537">
        <v>235.41</v>
      </c>
      <c r="H537" s="1" t="s">
        <v>101</v>
      </c>
      <c r="I537" s="1" t="s">
        <v>58</v>
      </c>
      <c r="J537" s="2">
        <v>44870</v>
      </c>
      <c r="K537" s="1" t="s">
        <v>24</v>
      </c>
      <c r="L537" s="1">
        <f>IF(Subscriptions[[#This Row],[churned]]="Yes",1,0)</f>
        <v>1</v>
      </c>
      <c r="M537" s="2">
        <v>44871</v>
      </c>
      <c r="N537" s="1" t="s">
        <v>59</v>
      </c>
      <c r="O537">
        <v>4</v>
      </c>
      <c r="P537">
        <v>5</v>
      </c>
      <c r="Q537">
        <v>20</v>
      </c>
      <c r="R537" s="1" t="s">
        <v>26</v>
      </c>
    </row>
    <row r="538" spans="1:18" x14ac:dyDescent="0.35">
      <c r="A538" s="1" t="s">
        <v>594</v>
      </c>
      <c r="B538" s="1" t="s">
        <v>32</v>
      </c>
      <c r="C538" s="1" t="s">
        <v>19</v>
      </c>
      <c r="D538" s="1" t="s">
        <v>71</v>
      </c>
      <c r="E538" s="1" t="s">
        <v>39</v>
      </c>
      <c r="F538">
        <v>26</v>
      </c>
      <c r="G538">
        <v>137.75</v>
      </c>
      <c r="H538" s="1" t="s">
        <v>63</v>
      </c>
      <c r="I538" s="1" t="s">
        <v>23</v>
      </c>
      <c r="J538" s="2">
        <v>45091</v>
      </c>
      <c r="K538" s="1" t="s">
        <v>24</v>
      </c>
      <c r="L538" s="1">
        <f>IF(Subscriptions[[#This Row],[churned]]="Yes",1,0)</f>
        <v>1</v>
      </c>
      <c r="M538" s="2">
        <v>45091</v>
      </c>
      <c r="N538" s="1" t="s">
        <v>25</v>
      </c>
      <c r="O538">
        <v>0</v>
      </c>
      <c r="P538">
        <v>3</v>
      </c>
      <c r="Q538">
        <v>23</v>
      </c>
      <c r="R538" s="1" t="s">
        <v>26</v>
      </c>
    </row>
    <row r="539" spans="1:18" x14ac:dyDescent="0.35">
      <c r="A539" s="1" t="s">
        <v>595</v>
      </c>
      <c r="B539" s="1" t="s">
        <v>18</v>
      </c>
      <c r="C539" s="1" t="s">
        <v>19</v>
      </c>
      <c r="D539" s="1" t="s">
        <v>38</v>
      </c>
      <c r="E539" s="1" t="s">
        <v>45</v>
      </c>
      <c r="F539">
        <v>8</v>
      </c>
      <c r="G539">
        <v>161.94999999999999</v>
      </c>
      <c r="H539" s="1" t="s">
        <v>63</v>
      </c>
      <c r="I539" s="1" t="s">
        <v>40</v>
      </c>
      <c r="J539" s="2">
        <v>45781</v>
      </c>
      <c r="K539" s="1" t="s">
        <v>24</v>
      </c>
      <c r="L539" s="1">
        <f>IF(Subscriptions[[#This Row],[churned]]="Yes",1,0)</f>
        <v>1</v>
      </c>
      <c r="M539" s="2">
        <v>45877</v>
      </c>
      <c r="N539" s="1" t="s">
        <v>25</v>
      </c>
      <c r="O539">
        <v>5</v>
      </c>
      <c r="P539">
        <v>2</v>
      </c>
      <c r="Q539">
        <v>49</v>
      </c>
      <c r="R539" s="1" t="s">
        <v>26</v>
      </c>
    </row>
    <row r="540" spans="1:18" x14ac:dyDescent="0.35">
      <c r="A540" s="1" t="s">
        <v>596</v>
      </c>
      <c r="B540" s="1" t="s">
        <v>37</v>
      </c>
      <c r="C540" s="1" t="s">
        <v>28</v>
      </c>
      <c r="D540" s="1" t="s">
        <v>55</v>
      </c>
      <c r="E540" s="1" t="s">
        <v>21</v>
      </c>
      <c r="F540">
        <v>20</v>
      </c>
      <c r="G540">
        <v>651.23</v>
      </c>
      <c r="H540" s="1" t="s">
        <v>101</v>
      </c>
      <c r="I540" s="1" t="s">
        <v>23</v>
      </c>
      <c r="J540" s="2">
        <v>45437</v>
      </c>
      <c r="K540" s="1" t="s">
        <v>26</v>
      </c>
      <c r="L540" s="1">
        <f>IF(Subscriptions[[#This Row],[churned]]="Yes",1,0)</f>
        <v>0</v>
      </c>
      <c r="M540" s="2"/>
      <c r="N540" s="1" t="s">
        <v>30</v>
      </c>
      <c r="O540">
        <v>8</v>
      </c>
      <c r="P540">
        <v>9</v>
      </c>
      <c r="Q540">
        <v>90</v>
      </c>
      <c r="R540" s="1" t="s">
        <v>26</v>
      </c>
    </row>
    <row r="541" spans="1:18" x14ac:dyDescent="0.35">
      <c r="A541" s="1" t="s">
        <v>597</v>
      </c>
      <c r="B541" s="1" t="s">
        <v>32</v>
      </c>
      <c r="C541" s="1" t="s">
        <v>19</v>
      </c>
      <c r="D541" s="1" t="s">
        <v>82</v>
      </c>
      <c r="E541" s="1" t="s">
        <v>21</v>
      </c>
      <c r="F541">
        <v>68</v>
      </c>
      <c r="G541">
        <v>320.45</v>
      </c>
      <c r="H541" s="1" t="s">
        <v>63</v>
      </c>
      <c r="I541" s="1" t="s">
        <v>23</v>
      </c>
      <c r="J541" s="2">
        <v>45539</v>
      </c>
      <c r="K541" s="1" t="s">
        <v>24</v>
      </c>
      <c r="L541" s="1">
        <f>IF(Subscriptions[[#This Row],[churned]]="Yes",1,0)</f>
        <v>1</v>
      </c>
      <c r="M541" s="2">
        <v>45787</v>
      </c>
      <c r="N541" s="1" t="s">
        <v>66</v>
      </c>
      <c r="O541">
        <v>9</v>
      </c>
      <c r="P541">
        <v>4</v>
      </c>
      <c r="Q541">
        <v>50</v>
      </c>
      <c r="R541" s="1" t="s">
        <v>26</v>
      </c>
    </row>
    <row r="542" spans="1:18" x14ac:dyDescent="0.35">
      <c r="A542" s="1" t="s">
        <v>598</v>
      </c>
      <c r="B542" s="1" t="s">
        <v>18</v>
      </c>
      <c r="C542" s="1" t="s">
        <v>19</v>
      </c>
      <c r="D542" s="1" t="s">
        <v>42</v>
      </c>
      <c r="E542" s="1" t="s">
        <v>48</v>
      </c>
      <c r="F542">
        <v>30</v>
      </c>
      <c r="G542">
        <v>422.65</v>
      </c>
      <c r="H542" s="1" t="s">
        <v>46</v>
      </c>
      <c r="I542" s="1" t="s">
        <v>23</v>
      </c>
      <c r="J542" s="2">
        <v>45166</v>
      </c>
      <c r="K542" s="1" t="s">
        <v>24</v>
      </c>
      <c r="L542" s="1">
        <f>IF(Subscriptions[[#This Row],[churned]]="Yes",1,0)</f>
        <v>1</v>
      </c>
      <c r="M542" s="2">
        <v>45606</v>
      </c>
      <c r="N542" s="1" t="s">
        <v>56</v>
      </c>
      <c r="O542">
        <v>8</v>
      </c>
      <c r="P542">
        <v>1</v>
      </c>
      <c r="Q542">
        <v>50</v>
      </c>
      <c r="R542" s="1" t="s">
        <v>26</v>
      </c>
    </row>
    <row r="543" spans="1:18" x14ac:dyDescent="0.35">
      <c r="A543" s="1" t="s">
        <v>599</v>
      </c>
      <c r="B543" s="1" t="s">
        <v>32</v>
      </c>
      <c r="C543" s="1" t="s">
        <v>19</v>
      </c>
      <c r="D543" s="1" t="s">
        <v>65</v>
      </c>
      <c r="E543" s="1" t="s">
        <v>39</v>
      </c>
      <c r="F543">
        <v>28</v>
      </c>
      <c r="G543">
        <v>146.44999999999999</v>
      </c>
      <c r="H543" s="1" t="s">
        <v>29</v>
      </c>
      <c r="I543" s="1" t="s">
        <v>23</v>
      </c>
      <c r="J543" s="2">
        <v>45954</v>
      </c>
      <c r="K543" s="1" t="s">
        <v>26</v>
      </c>
      <c r="L543" s="1">
        <f>IF(Subscriptions[[#This Row],[churned]]="Yes",1,0)</f>
        <v>0</v>
      </c>
      <c r="M543" s="2"/>
      <c r="N543" s="1" t="s">
        <v>30</v>
      </c>
      <c r="O543">
        <v>7</v>
      </c>
      <c r="P543">
        <v>1</v>
      </c>
      <c r="Q543">
        <v>91</v>
      </c>
      <c r="R543" s="1" t="s">
        <v>26</v>
      </c>
    </row>
    <row r="544" spans="1:18" x14ac:dyDescent="0.35">
      <c r="A544" s="1" t="s">
        <v>600</v>
      </c>
      <c r="B544" s="1" t="s">
        <v>74</v>
      </c>
      <c r="C544" s="1" t="s">
        <v>28</v>
      </c>
      <c r="D544" s="1" t="s">
        <v>38</v>
      </c>
      <c r="E544" s="1" t="s">
        <v>45</v>
      </c>
      <c r="F544">
        <v>1</v>
      </c>
      <c r="G544">
        <v>424.15</v>
      </c>
      <c r="H544" s="1" t="s">
        <v>35</v>
      </c>
      <c r="I544" s="1" t="s">
        <v>23</v>
      </c>
      <c r="J544" s="2">
        <v>44870</v>
      </c>
      <c r="K544" s="1" t="s">
        <v>24</v>
      </c>
      <c r="L544" s="1">
        <f>IF(Subscriptions[[#This Row],[churned]]="Yes",1,0)</f>
        <v>1</v>
      </c>
      <c r="M544" s="2">
        <v>45787</v>
      </c>
      <c r="N544" s="1" t="s">
        <v>66</v>
      </c>
      <c r="O544">
        <v>9</v>
      </c>
      <c r="P544">
        <v>3</v>
      </c>
      <c r="Q544">
        <v>24</v>
      </c>
      <c r="R544" s="1" t="s">
        <v>26</v>
      </c>
    </row>
    <row r="545" spans="1:18" x14ac:dyDescent="0.35">
      <c r="A545" s="1" t="s">
        <v>601</v>
      </c>
      <c r="B545" s="1" t="s">
        <v>37</v>
      </c>
      <c r="C545" s="1" t="s">
        <v>28</v>
      </c>
      <c r="D545" s="1" t="s">
        <v>38</v>
      </c>
      <c r="E545" s="1" t="s">
        <v>39</v>
      </c>
      <c r="F545">
        <v>16</v>
      </c>
      <c r="G545">
        <v>549.74</v>
      </c>
      <c r="H545" s="1" t="s">
        <v>46</v>
      </c>
      <c r="I545" s="1" t="s">
        <v>40</v>
      </c>
      <c r="J545" s="2">
        <v>45290</v>
      </c>
      <c r="K545" s="1" t="s">
        <v>26</v>
      </c>
      <c r="L545" s="1">
        <f>IF(Subscriptions[[#This Row],[churned]]="Yes",1,0)</f>
        <v>0</v>
      </c>
      <c r="M545" s="2"/>
      <c r="N545" s="1" t="s">
        <v>30</v>
      </c>
      <c r="O545">
        <v>4</v>
      </c>
      <c r="P545">
        <v>3</v>
      </c>
      <c r="Q545">
        <v>25</v>
      </c>
      <c r="R545" s="1" t="s">
        <v>26</v>
      </c>
    </row>
    <row r="546" spans="1:18" x14ac:dyDescent="0.35">
      <c r="A546" s="1" t="s">
        <v>602</v>
      </c>
      <c r="B546" s="1" t="s">
        <v>32</v>
      </c>
      <c r="C546" s="1" t="s">
        <v>19</v>
      </c>
      <c r="D546" s="1" t="s">
        <v>44</v>
      </c>
      <c r="E546" s="1" t="s">
        <v>45</v>
      </c>
      <c r="F546">
        <v>1</v>
      </c>
      <c r="G546">
        <v>29</v>
      </c>
      <c r="H546" s="1" t="s">
        <v>46</v>
      </c>
      <c r="I546" s="1" t="s">
        <v>40</v>
      </c>
      <c r="J546" s="2">
        <v>44685</v>
      </c>
      <c r="K546" s="1" t="s">
        <v>24</v>
      </c>
      <c r="L546" s="1">
        <f>IF(Subscriptions[[#This Row],[churned]]="Yes",1,0)</f>
        <v>1</v>
      </c>
      <c r="M546" s="2">
        <v>44909</v>
      </c>
      <c r="N546" s="1" t="s">
        <v>25</v>
      </c>
      <c r="O546">
        <v>14</v>
      </c>
      <c r="P546">
        <v>2</v>
      </c>
      <c r="Q546">
        <v>10</v>
      </c>
      <c r="R546" s="1" t="s">
        <v>26</v>
      </c>
    </row>
    <row r="547" spans="1:18" x14ac:dyDescent="0.35">
      <c r="A547" s="1" t="s">
        <v>603</v>
      </c>
      <c r="B547" s="1" t="s">
        <v>18</v>
      </c>
      <c r="C547" s="1" t="s">
        <v>19</v>
      </c>
      <c r="D547" s="1" t="s">
        <v>44</v>
      </c>
      <c r="E547" s="1" t="s">
        <v>39</v>
      </c>
      <c r="F547">
        <v>11</v>
      </c>
      <c r="G547">
        <v>197.5</v>
      </c>
      <c r="H547" s="1" t="s">
        <v>29</v>
      </c>
      <c r="I547" s="1" t="s">
        <v>58</v>
      </c>
      <c r="J547" s="2">
        <v>45181</v>
      </c>
      <c r="K547" s="1" t="s">
        <v>24</v>
      </c>
      <c r="L547" s="1">
        <f>IF(Subscriptions[[#This Row],[churned]]="Yes",1,0)</f>
        <v>1</v>
      </c>
      <c r="M547" s="2">
        <v>45407</v>
      </c>
      <c r="N547" s="1" t="s">
        <v>59</v>
      </c>
      <c r="O547">
        <v>12</v>
      </c>
      <c r="P547">
        <v>2</v>
      </c>
      <c r="Q547">
        <v>10</v>
      </c>
      <c r="R547" s="1" t="s">
        <v>26</v>
      </c>
    </row>
    <row r="548" spans="1:18" x14ac:dyDescent="0.35">
      <c r="A548" s="1" t="s">
        <v>604</v>
      </c>
      <c r="B548" s="1" t="s">
        <v>74</v>
      </c>
      <c r="C548" s="1" t="s">
        <v>19</v>
      </c>
      <c r="D548" s="1" t="s">
        <v>20</v>
      </c>
      <c r="E548" s="1" t="s">
        <v>45</v>
      </c>
      <c r="F548">
        <v>2</v>
      </c>
      <c r="G548">
        <v>573.85</v>
      </c>
      <c r="H548" s="1" t="s">
        <v>22</v>
      </c>
      <c r="I548" s="1" t="s">
        <v>23</v>
      </c>
      <c r="J548" s="2">
        <v>44936</v>
      </c>
      <c r="K548" s="1" t="s">
        <v>24</v>
      </c>
      <c r="L548" s="1">
        <f>IF(Subscriptions[[#This Row],[churned]]="Yes",1,0)</f>
        <v>1</v>
      </c>
      <c r="M548" s="2">
        <v>45706</v>
      </c>
      <c r="N548" s="1" t="s">
        <v>49</v>
      </c>
      <c r="O548">
        <v>10</v>
      </c>
      <c r="P548">
        <v>3</v>
      </c>
      <c r="Q548">
        <v>22</v>
      </c>
      <c r="R548" s="1" t="s">
        <v>26</v>
      </c>
    </row>
    <row r="549" spans="1:18" x14ac:dyDescent="0.35">
      <c r="A549" s="1" t="s">
        <v>605</v>
      </c>
      <c r="B549" s="1" t="s">
        <v>37</v>
      </c>
      <c r="C549" s="1" t="s">
        <v>19</v>
      </c>
      <c r="D549" s="1" t="s">
        <v>52</v>
      </c>
      <c r="E549" s="1" t="s">
        <v>39</v>
      </c>
      <c r="F549">
        <v>31</v>
      </c>
      <c r="G549">
        <v>1094.5</v>
      </c>
      <c r="H549" s="1" t="s">
        <v>63</v>
      </c>
      <c r="I549" s="1" t="s">
        <v>58</v>
      </c>
      <c r="J549" s="2">
        <v>44889</v>
      </c>
      <c r="K549" s="1" t="s">
        <v>26</v>
      </c>
      <c r="L549" s="1">
        <f>IF(Subscriptions[[#This Row],[churned]]="Yes",1,0)</f>
        <v>0</v>
      </c>
      <c r="M549" s="2"/>
      <c r="N549" s="1" t="s">
        <v>30</v>
      </c>
      <c r="O549">
        <v>1</v>
      </c>
      <c r="P549">
        <v>6</v>
      </c>
      <c r="Q549">
        <v>49</v>
      </c>
      <c r="R549" s="1" t="s">
        <v>26</v>
      </c>
    </row>
    <row r="550" spans="1:18" x14ac:dyDescent="0.35">
      <c r="A550" s="1" t="s">
        <v>606</v>
      </c>
      <c r="B550" s="1" t="s">
        <v>32</v>
      </c>
      <c r="C550" s="1" t="s">
        <v>28</v>
      </c>
      <c r="D550" s="1" t="s">
        <v>71</v>
      </c>
      <c r="E550" s="1" t="s">
        <v>39</v>
      </c>
      <c r="F550">
        <v>30</v>
      </c>
      <c r="G550">
        <v>131.88</v>
      </c>
      <c r="H550" s="1" t="s">
        <v>35</v>
      </c>
      <c r="I550" s="1" t="s">
        <v>23</v>
      </c>
      <c r="J550" s="2">
        <v>44640</v>
      </c>
      <c r="K550" s="1" t="s">
        <v>24</v>
      </c>
      <c r="L550" s="1">
        <f>IF(Subscriptions[[#This Row],[churned]]="Yes",1,0)</f>
        <v>1</v>
      </c>
      <c r="M550" s="2">
        <v>44656</v>
      </c>
      <c r="N550" s="1" t="s">
        <v>59</v>
      </c>
      <c r="O550">
        <v>7</v>
      </c>
      <c r="P550">
        <v>1</v>
      </c>
      <c r="Q550">
        <v>28</v>
      </c>
      <c r="R550" s="1" t="s">
        <v>26</v>
      </c>
    </row>
    <row r="551" spans="1:18" x14ac:dyDescent="0.35">
      <c r="A551" s="1" t="s">
        <v>607</v>
      </c>
      <c r="B551" s="1" t="s">
        <v>32</v>
      </c>
      <c r="C551" s="1" t="s">
        <v>19</v>
      </c>
      <c r="D551" s="1" t="s">
        <v>44</v>
      </c>
      <c r="E551" s="1" t="s">
        <v>39</v>
      </c>
      <c r="F551">
        <v>31</v>
      </c>
      <c r="G551">
        <v>159.5</v>
      </c>
      <c r="H551" s="1" t="s">
        <v>22</v>
      </c>
      <c r="I551" s="1" t="s">
        <v>58</v>
      </c>
      <c r="J551" s="2">
        <v>45407</v>
      </c>
      <c r="K551" s="1" t="s">
        <v>24</v>
      </c>
      <c r="L551" s="1">
        <f>IF(Subscriptions[[#This Row],[churned]]="Yes",1,0)</f>
        <v>1</v>
      </c>
      <c r="M551" s="2">
        <v>45537</v>
      </c>
      <c r="N551" s="1" t="s">
        <v>66</v>
      </c>
      <c r="O551">
        <v>1</v>
      </c>
      <c r="P551">
        <v>6</v>
      </c>
      <c r="Q551">
        <v>33</v>
      </c>
      <c r="R551" s="1" t="s">
        <v>26</v>
      </c>
    </row>
    <row r="552" spans="1:18" x14ac:dyDescent="0.35">
      <c r="A552" s="1" t="s">
        <v>608</v>
      </c>
      <c r="B552" s="1" t="s">
        <v>18</v>
      </c>
      <c r="C552" s="1" t="s">
        <v>28</v>
      </c>
      <c r="D552" s="1" t="s">
        <v>82</v>
      </c>
      <c r="E552" s="1" t="s">
        <v>34</v>
      </c>
      <c r="F552">
        <v>187</v>
      </c>
      <c r="G552">
        <v>1940.63</v>
      </c>
      <c r="H552" s="1" t="s">
        <v>63</v>
      </c>
      <c r="I552" s="1" t="s">
        <v>23</v>
      </c>
      <c r="J552" s="2">
        <v>45938</v>
      </c>
      <c r="K552" s="1" t="s">
        <v>26</v>
      </c>
      <c r="L552" s="1">
        <f>IF(Subscriptions[[#This Row],[churned]]="Yes",1,0)</f>
        <v>0</v>
      </c>
      <c r="M552" s="2"/>
      <c r="N552" s="1" t="s">
        <v>30</v>
      </c>
      <c r="O552">
        <v>1</v>
      </c>
      <c r="P552">
        <v>3</v>
      </c>
      <c r="Q552">
        <v>53</v>
      </c>
      <c r="R552" s="1" t="s">
        <v>26</v>
      </c>
    </row>
    <row r="553" spans="1:18" x14ac:dyDescent="0.35">
      <c r="A553" s="1" t="s">
        <v>609</v>
      </c>
      <c r="B553" s="1" t="s">
        <v>32</v>
      </c>
      <c r="C553" s="1" t="s">
        <v>19</v>
      </c>
      <c r="D553" s="1" t="s">
        <v>65</v>
      </c>
      <c r="E553" s="1" t="s">
        <v>39</v>
      </c>
      <c r="F553">
        <v>9</v>
      </c>
      <c r="G553">
        <v>63.8</v>
      </c>
      <c r="H553" s="1" t="s">
        <v>29</v>
      </c>
      <c r="I553" s="1" t="s">
        <v>23</v>
      </c>
      <c r="J553" s="2">
        <v>45726</v>
      </c>
      <c r="K553" s="1" t="s">
        <v>26</v>
      </c>
      <c r="L553" s="1">
        <f>IF(Subscriptions[[#This Row],[churned]]="Yes",1,0)</f>
        <v>0</v>
      </c>
      <c r="M553" s="2"/>
      <c r="N553" s="1" t="s">
        <v>30</v>
      </c>
      <c r="O553">
        <v>9</v>
      </c>
      <c r="P553">
        <v>3</v>
      </c>
      <c r="Q553">
        <v>22</v>
      </c>
      <c r="R553" s="1" t="s">
        <v>26</v>
      </c>
    </row>
    <row r="554" spans="1:18" x14ac:dyDescent="0.35">
      <c r="A554" s="1" t="s">
        <v>610</v>
      </c>
      <c r="B554" s="1" t="s">
        <v>32</v>
      </c>
      <c r="C554" s="1" t="s">
        <v>28</v>
      </c>
      <c r="D554" s="1" t="s">
        <v>44</v>
      </c>
      <c r="E554" s="1" t="s">
        <v>48</v>
      </c>
      <c r="F554">
        <v>135</v>
      </c>
      <c r="G554">
        <v>520.12</v>
      </c>
      <c r="H554" s="1" t="s">
        <v>101</v>
      </c>
      <c r="I554" s="1" t="s">
        <v>58</v>
      </c>
      <c r="J554" s="2">
        <v>45566</v>
      </c>
      <c r="K554" s="1" t="s">
        <v>26</v>
      </c>
      <c r="L554" s="1">
        <f>IF(Subscriptions[[#This Row],[churned]]="Yes",1,0)</f>
        <v>0</v>
      </c>
      <c r="M554" s="2"/>
      <c r="N554" s="1" t="s">
        <v>30</v>
      </c>
      <c r="O554">
        <v>10</v>
      </c>
      <c r="P554">
        <v>4</v>
      </c>
      <c r="Q554">
        <v>86</v>
      </c>
      <c r="R554" s="1" t="s">
        <v>26</v>
      </c>
    </row>
    <row r="555" spans="1:18" x14ac:dyDescent="0.35">
      <c r="A555" s="1" t="s">
        <v>611</v>
      </c>
      <c r="B555" s="1" t="s">
        <v>32</v>
      </c>
      <c r="C555" s="1" t="s">
        <v>28</v>
      </c>
      <c r="D555" s="1" t="s">
        <v>42</v>
      </c>
      <c r="E555" s="1" t="s">
        <v>21</v>
      </c>
      <c r="F555">
        <v>39</v>
      </c>
      <c r="G555">
        <v>165.16</v>
      </c>
      <c r="H555" s="1" t="s">
        <v>63</v>
      </c>
      <c r="I555" s="1" t="s">
        <v>23</v>
      </c>
      <c r="J555" s="2">
        <v>44609</v>
      </c>
      <c r="K555" s="1" t="s">
        <v>24</v>
      </c>
      <c r="L555" s="1">
        <f>IF(Subscriptions[[#This Row],[churned]]="Yes",1,0)</f>
        <v>1</v>
      </c>
      <c r="M555" s="2">
        <v>44814</v>
      </c>
      <c r="N555" s="1" t="s">
        <v>59</v>
      </c>
      <c r="O555">
        <v>8</v>
      </c>
      <c r="P555">
        <v>6</v>
      </c>
      <c r="Q555">
        <v>18</v>
      </c>
      <c r="R555" s="1" t="s">
        <v>26</v>
      </c>
    </row>
    <row r="556" spans="1:18" x14ac:dyDescent="0.35">
      <c r="A556" s="1" t="s">
        <v>612</v>
      </c>
      <c r="B556" s="1" t="s">
        <v>37</v>
      </c>
      <c r="C556" s="1" t="s">
        <v>28</v>
      </c>
      <c r="D556" s="1" t="s">
        <v>20</v>
      </c>
      <c r="E556" s="1" t="s">
        <v>39</v>
      </c>
      <c r="F556">
        <v>29</v>
      </c>
      <c r="G556">
        <v>879.58</v>
      </c>
      <c r="H556" s="1" t="s">
        <v>46</v>
      </c>
      <c r="I556" s="1" t="s">
        <v>23</v>
      </c>
      <c r="J556" s="2">
        <v>44770</v>
      </c>
      <c r="K556" s="1" t="s">
        <v>26</v>
      </c>
      <c r="L556" s="1">
        <f>IF(Subscriptions[[#This Row],[churned]]="Yes",1,0)</f>
        <v>0</v>
      </c>
      <c r="M556" s="2"/>
      <c r="N556" s="1" t="s">
        <v>30</v>
      </c>
      <c r="O556">
        <v>2</v>
      </c>
      <c r="P556">
        <v>5</v>
      </c>
      <c r="Q556">
        <v>71</v>
      </c>
      <c r="R556" s="1" t="s">
        <v>26</v>
      </c>
    </row>
    <row r="557" spans="1:18" x14ac:dyDescent="0.35">
      <c r="A557" s="1" t="s">
        <v>613</v>
      </c>
      <c r="B557" s="1" t="s">
        <v>37</v>
      </c>
      <c r="C557" s="1" t="s">
        <v>19</v>
      </c>
      <c r="D557" s="1" t="s">
        <v>82</v>
      </c>
      <c r="E557" s="1" t="s">
        <v>34</v>
      </c>
      <c r="F557">
        <v>182</v>
      </c>
      <c r="G557">
        <v>5601.85</v>
      </c>
      <c r="H557" s="1" t="s">
        <v>63</v>
      </c>
      <c r="I557" s="1" t="s">
        <v>72</v>
      </c>
      <c r="J557" s="2">
        <v>45863</v>
      </c>
      <c r="K557" s="1" t="s">
        <v>24</v>
      </c>
      <c r="L557" s="1">
        <f>IF(Subscriptions[[#This Row],[churned]]="Yes",1,0)</f>
        <v>1</v>
      </c>
      <c r="M557" s="2">
        <v>45866</v>
      </c>
      <c r="N557" s="1" t="s">
        <v>59</v>
      </c>
      <c r="O557">
        <v>4</v>
      </c>
      <c r="P557">
        <v>1</v>
      </c>
      <c r="Q557">
        <v>21</v>
      </c>
      <c r="R557" s="1" t="s">
        <v>26</v>
      </c>
    </row>
    <row r="558" spans="1:18" x14ac:dyDescent="0.35">
      <c r="A558" s="1" t="s">
        <v>614</v>
      </c>
      <c r="B558" s="1" t="s">
        <v>32</v>
      </c>
      <c r="C558" s="1" t="s">
        <v>19</v>
      </c>
      <c r="D558" s="1" t="s">
        <v>33</v>
      </c>
      <c r="E558" s="1" t="s">
        <v>48</v>
      </c>
      <c r="F558">
        <v>82</v>
      </c>
      <c r="G558">
        <v>381.35</v>
      </c>
      <c r="H558" s="1" t="s">
        <v>46</v>
      </c>
      <c r="I558" s="1" t="s">
        <v>23</v>
      </c>
      <c r="J558" s="2">
        <v>45941</v>
      </c>
      <c r="K558" s="1" t="s">
        <v>26</v>
      </c>
      <c r="L558" s="1">
        <f>IF(Subscriptions[[#This Row],[churned]]="Yes",1,0)</f>
        <v>0</v>
      </c>
      <c r="M558" s="2"/>
      <c r="N558" s="1" t="s">
        <v>30</v>
      </c>
      <c r="O558">
        <v>1</v>
      </c>
      <c r="P558">
        <v>6</v>
      </c>
      <c r="Q558">
        <v>33</v>
      </c>
      <c r="R558" s="1" t="s">
        <v>26</v>
      </c>
    </row>
    <row r="559" spans="1:18" x14ac:dyDescent="0.35">
      <c r="A559" s="1" t="s">
        <v>615</v>
      </c>
      <c r="B559" s="1" t="s">
        <v>37</v>
      </c>
      <c r="C559" s="1" t="s">
        <v>19</v>
      </c>
      <c r="D559" s="1" t="s">
        <v>65</v>
      </c>
      <c r="E559" s="1" t="s">
        <v>48</v>
      </c>
      <c r="F559">
        <v>74</v>
      </c>
      <c r="G559">
        <v>2378.0500000000002</v>
      </c>
      <c r="H559" s="1" t="s">
        <v>22</v>
      </c>
      <c r="I559" s="1" t="s">
        <v>40</v>
      </c>
      <c r="J559" s="2">
        <v>45772</v>
      </c>
      <c r="K559" s="1" t="s">
        <v>26</v>
      </c>
      <c r="L559" s="1">
        <f>IF(Subscriptions[[#This Row],[churned]]="Yes",1,0)</f>
        <v>0</v>
      </c>
      <c r="M559" s="2"/>
      <c r="N559" s="1" t="s">
        <v>30</v>
      </c>
      <c r="O559">
        <v>0</v>
      </c>
      <c r="P559">
        <v>9</v>
      </c>
      <c r="Q559">
        <v>71</v>
      </c>
      <c r="R559" s="1" t="s">
        <v>24</v>
      </c>
    </row>
    <row r="560" spans="1:18" x14ac:dyDescent="0.35">
      <c r="A560" s="1" t="s">
        <v>616</v>
      </c>
      <c r="B560" s="1" t="s">
        <v>18</v>
      </c>
      <c r="C560" s="1" t="s">
        <v>28</v>
      </c>
      <c r="D560" s="1" t="s">
        <v>55</v>
      </c>
      <c r="E560" s="1" t="s">
        <v>39</v>
      </c>
      <c r="F560">
        <v>30</v>
      </c>
      <c r="G560">
        <v>359.25</v>
      </c>
      <c r="H560" s="1" t="s">
        <v>35</v>
      </c>
      <c r="I560" s="1" t="s">
        <v>23</v>
      </c>
      <c r="J560" s="2">
        <v>44892</v>
      </c>
      <c r="K560" s="1" t="s">
        <v>24</v>
      </c>
      <c r="L560" s="1">
        <f>IF(Subscriptions[[#This Row],[churned]]="Yes",1,0)</f>
        <v>1</v>
      </c>
      <c r="M560" s="2">
        <v>45180</v>
      </c>
      <c r="N560" s="1" t="s">
        <v>56</v>
      </c>
      <c r="O560">
        <v>11</v>
      </c>
      <c r="P560">
        <v>1</v>
      </c>
      <c r="Q560">
        <v>26</v>
      </c>
      <c r="R560" s="1" t="s">
        <v>26</v>
      </c>
    </row>
    <row r="561" spans="1:18" x14ac:dyDescent="0.35">
      <c r="A561" s="1" t="s">
        <v>617</v>
      </c>
      <c r="B561" s="1" t="s">
        <v>32</v>
      </c>
      <c r="C561" s="1" t="s">
        <v>19</v>
      </c>
      <c r="D561" s="1" t="s">
        <v>71</v>
      </c>
      <c r="E561" s="1" t="s">
        <v>39</v>
      </c>
      <c r="F561">
        <v>6</v>
      </c>
      <c r="G561">
        <v>50.75</v>
      </c>
      <c r="H561" s="1" t="s">
        <v>22</v>
      </c>
      <c r="I561" s="1" t="s">
        <v>58</v>
      </c>
      <c r="J561" s="2">
        <v>45516</v>
      </c>
      <c r="K561" s="1" t="s">
        <v>24</v>
      </c>
      <c r="L561" s="1">
        <f>IF(Subscriptions[[#This Row],[churned]]="Yes",1,0)</f>
        <v>1</v>
      </c>
      <c r="M561" s="2">
        <v>45832</v>
      </c>
      <c r="N561" s="1" t="s">
        <v>25</v>
      </c>
      <c r="O561">
        <v>9</v>
      </c>
      <c r="P561">
        <v>1</v>
      </c>
      <c r="Q561">
        <v>45</v>
      </c>
      <c r="R561" s="1" t="s">
        <v>26</v>
      </c>
    </row>
    <row r="562" spans="1:18" x14ac:dyDescent="0.35">
      <c r="A562" s="1" t="s">
        <v>618</v>
      </c>
      <c r="B562" s="1" t="s">
        <v>74</v>
      </c>
      <c r="C562" s="1" t="s">
        <v>19</v>
      </c>
      <c r="D562" s="1" t="s">
        <v>71</v>
      </c>
      <c r="E562" s="1" t="s">
        <v>39</v>
      </c>
      <c r="F562">
        <v>17</v>
      </c>
      <c r="G562">
        <v>1696.6</v>
      </c>
      <c r="H562" s="1" t="s">
        <v>22</v>
      </c>
      <c r="I562" s="1" t="s">
        <v>58</v>
      </c>
      <c r="J562" s="2">
        <v>45128</v>
      </c>
      <c r="K562" s="1" t="s">
        <v>26</v>
      </c>
      <c r="L562" s="1">
        <f>IF(Subscriptions[[#This Row],[churned]]="Yes",1,0)</f>
        <v>0</v>
      </c>
      <c r="M562" s="2"/>
      <c r="N562" s="1" t="s">
        <v>30</v>
      </c>
      <c r="O562">
        <v>9</v>
      </c>
      <c r="P562">
        <v>3</v>
      </c>
      <c r="Q562">
        <v>41</v>
      </c>
      <c r="R562" s="1" t="s">
        <v>26</v>
      </c>
    </row>
    <row r="563" spans="1:18" x14ac:dyDescent="0.35">
      <c r="A563" s="1" t="s">
        <v>619</v>
      </c>
      <c r="B563" s="1" t="s">
        <v>37</v>
      </c>
      <c r="C563" s="1" t="s">
        <v>19</v>
      </c>
      <c r="D563" s="1" t="s">
        <v>55</v>
      </c>
      <c r="E563" s="1" t="s">
        <v>21</v>
      </c>
      <c r="F563">
        <v>30</v>
      </c>
      <c r="G563">
        <v>1064.6500000000001</v>
      </c>
      <c r="H563" s="1" t="s">
        <v>46</v>
      </c>
      <c r="I563" s="1" t="s">
        <v>23</v>
      </c>
      <c r="J563" s="2">
        <v>45942</v>
      </c>
      <c r="K563" s="1" t="s">
        <v>26</v>
      </c>
      <c r="L563" s="1">
        <f>IF(Subscriptions[[#This Row],[churned]]="Yes",1,0)</f>
        <v>0</v>
      </c>
      <c r="M563" s="2"/>
      <c r="N563" s="1" t="s">
        <v>30</v>
      </c>
      <c r="O563">
        <v>6</v>
      </c>
      <c r="P563">
        <v>10</v>
      </c>
      <c r="Q563">
        <v>17</v>
      </c>
      <c r="R563" s="1" t="s">
        <v>26</v>
      </c>
    </row>
    <row r="564" spans="1:18" x14ac:dyDescent="0.35">
      <c r="A564" s="1" t="s">
        <v>620</v>
      </c>
      <c r="B564" s="1" t="s">
        <v>32</v>
      </c>
      <c r="C564" s="1" t="s">
        <v>19</v>
      </c>
      <c r="D564" s="1" t="s">
        <v>44</v>
      </c>
      <c r="E564" s="1" t="s">
        <v>45</v>
      </c>
      <c r="F564">
        <v>8</v>
      </c>
      <c r="G564">
        <v>59.45</v>
      </c>
      <c r="H564" s="1" t="s">
        <v>22</v>
      </c>
      <c r="I564" s="1" t="s">
        <v>58</v>
      </c>
      <c r="J564" s="2">
        <v>45605</v>
      </c>
      <c r="K564" s="1" t="s">
        <v>24</v>
      </c>
      <c r="L564" s="1">
        <f>IF(Subscriptions[[#This Row],[churned]]="Yes",1,0)</f>
        <v>1</v>
      </c>
      <c r="M564" s="2">
        <v>45791</v>
      </c>
      <c r="N564" s="1" t="s">
        <v>53</v>
      </c>
      <c r="O564">
        <v>3</v>
      </c>
      <c r="P564">
        <v>5</v>
      </c>
      <c r="Q564">
        <v>27</v>
      </c>
      <c r="R564" s="1" t="s">
        <v>26</v>
      </c>
    </row>
    <row r="565" spans="1:18" x14ac:dyDescent="0.35">
      <c r="A565" s="1" t="s">
        <v>621</v>
      </c>
      <c r="B565" s="1" t="s">
        <v>18</v>
      </c>
      <c r="C565" s="1" t="s">
        <v>19</v>
      </c>
      <c r="D565" s="1" t="s">
        <v>44</v>
      </c>
      <c r="E565" s="1" t="s">
        <v>45</v>
      </c>
      <c r="F565">
        <v>8</v>
      </c>
      <c r="G565">
        <v>161.94999999999999</v>
      </c>
      <c r="H565" s="1" t="s">
        <v>63</v>
      </c>
      <c r="I565" s="1" t="s">
        <v>40</v>
      </c>
      <c r="J565" s="2">
        <v>45733</v>
      </c>
      <c r="K565" s="1" t="s">
        <v>26</v>
      </c>
      <c r="L565" s="1">
        <f>IF(Subscriptions[[#This Row],[churned]]="Yes",1,0)</f>
        <v>0</v>
      </c>
      <c r="M565" s="2"/>
      <c r="N565" s="1" t="s">
        <v>30</v>
      </c>
      <c r="O565">
        <v>10</v>
      </c>
      <c r="P565">
        <v>10</v>
      </c>
      <c r="Q565">
        <v>78</v>
      </c>
      <c r="R565" s="1" t="s">
        <v>26</v>
      </c>
    </row>
    <row r="566" spans="1:18" x14ac:dyDescent="0.35">
      <c r="A566" s="1" t="s">
        <v>622</v>
      </c>
      <c r="B566" s="1" t="s">
        <v>37</v>
      </c>
      <c r="C566" s="1" t="s">
        <v>19</v>
      </c>
      <c r="D566" s="1" t="s">
        <v>42</v>
      </c>
      <c r="E566" s="1" t="s">
        <v>45</v>
      </c>
      <c r="F566">
        <v>6</v>
      </c>
      <c r="G566">
        <v>348.25</v>
      </c>
      <c r="H566" s="1" t="s">
        <v>46</v>
      </c>
      <c r="I566" s="1" t="s">
        <v>58</v>
      </c>
      <c r="J566" s="2">
        <v>45226</v>
      </c>
      <c r="K566" s="1" t="s">
        <v>24</v>
      </c>
      <c r="L566" s="1">
        <f>IF(Subscriptions[[#This Row],[churned]]="Yes",1,0)</f>
        <v>1</v>
      </c>
      <c r="M566" s="2">
        <v>45963</v>
      </c>
      <c r="N566" s="1" t="s">
        <v>25</v>
      </c>
      <c r="O566">
        <v>10</v>
      </c>
      <c r="P566">
        <v>1</v>
      </c>
      <c r="Q566">
        <v>19</v>
      </c>
      <c r="R566" s="1" t="s">
        <v>26</v>
      </c>
    </row>
    <row r="567" spans="1:18" x14ac:dyDescent="0.35">
      <c r="A567" s="1" t="s">
        <v>623</v>
      </c>
      <c r="B567" s="1" t="s">
        <v>18</v>
      </c>
      <c r="C567" s="1" t="s">
        <v>19</v>
      </c>
      <c r="D567" s="1" t="s">
        <v>38</v>
      </c>
      <c r="E567" s="1" t="s">
        <v>45</v>
      </c>
      <c r="F567">
        <v>8</v>
      </c>
      <c r="G567">
        <v>161.94999999999999</v>
      </c>
      <c r="H567" s="1" t="s">
        <v>22</v>
      </c>
      <c r="I567" s="1" t="s">
        <v>40</v>
      </c>
      <c r="J567" s="2">
        <v>44797</v>
      </c>
      <c r="K567" s="1" t="s">
        <v>24</v>
      </c>
      <c r="L567" s="1">
        <f>IF(Subscriptions[[#This Row],[churned]]="Yes",1,0)</f>
        <v>1</v>
      </c>
      <c r="M567" s="2">
        <v>44827</v>
      </c>
      <c r="N567" s="1" t="s">
        <v>56</v>
      </c>
      <c r="O567">
        <v>1</v>
      </c>
      <c r="P567">
        <v>3</v>
      </c>
      <c r="Q567">
        <v>15</v>
      </c>
      <c r="R567" s="1" t="s">
        <v>26</v>
      </c>
    </row>
    <row r="568" spans="1:18" x14ac:dyDescent="0.35">
      <c r="A568" s="1" t="s">
        <v>624</v>
      </c>
      <c r="B568" s="1" t="s">
        <v>32</v>
      </c>
      <c r="C568" s="1" t="s">
        <v>28</v>
      </c>
      <c r="D568" s="1" t="s">
        <v>42</v>
      </c>
      <c r="E568" s="1" t="s">
        <v>39</v>
      </c>
      <c r="F568">
        <v>27</v>
      </c>
      <c r="G568">
        <v>120.78</v>
      </c>
      <c r="H568" s="1" t="s">
        <v>29</v>
      </c>
      <c r="I568" s="1" t="s">
        <v>40</v>
      </c>
      <c r="J568" s="2">
        <v>45465</v>
      </c>
      <c r="K568" s="1" t="s">
        <v>24</v>
      </c>
      <c r="L568" s="1">
        <f>IF(Subscriptions[[#This Row],[churned]]="Yes",1,0)</f>
        <v>1</v>
      </c>
      <c r="M568" s="2">
        <v>45522</v>
      </c>
      <c r="N568" s="1" t="s">
        <v>56</v>
      </c>
      <c r="O568">
        <v>10</v>
      </c>
      <c r="P568">
        <v>4</v>
      </c>
      <c r="Q568">
        <v>11</v>
      </c>
      <c r="R568" s="1" t="s">
        <v>26</v>
      </c>
    </row>
    <row r="569" spans="1:18" x14ac:dyDescent="0.35">
      <c r="A569" s="1" t="s">
        <v>625</v>
      </c>
      <c r="B569" s="1" t="s">
        <v>32</v>
      </c>
      <c r="C569" s="1" t="s">
        <v>28</v>
      </c>
      <c r="D569" s="1" t="s">
        <v>65</v>
      </c>
      <c r="E569" s="1" t="s">
        <v>21</v>
      </c>
      <c r="F569">
        <v>50</v>
      </c>
      <c r="G569">
        <v>205.83</v>
      </c>
      <c r="H569" s="1" t="s">
        <v>46</v>
      </c>
      <c r="I569" s="1" t="s">
        <v>23</v>
      </c>
      <c r="J569" s="2">
        <v>45802</v>
      </c>
      <c r="K569" s="1" t="s">
        <v>26</v>
      </c>
      <c r="L569" s="1">
        <f>IF(Subscriptions[[#This Row],[churned]]="Yes",1,0)</f>
        <v>0</v>
      </c>
      <c r="M569" s="2"/>
      <c r="N569" s="1" t="s">
        <v>30</v>
      </c>
      <c r="O569">
        <v>5</v>
      </c>
      <c r="P569">
        <v>8</v>
      </c>
      <c r="Q569">
        <v>66</v>
      </c>
      <c r="R569" s="1" t="s">
        <v>26</v>
      </c>
    </row>
    <row r="570" spans="1:18" x14ac:dyDescent="0.35">
      <c r="A570" s="1" t="s">
        <v>626</v>
      </c>
      <c r="B570" s="1" t="s">
        <v>18</v>
      </c>
      <c r="C570" s="1" t="s">
        <v>19</v>
      </c>
      <c r="D570" s="1" t="s">
        <v>55</v>
      </c>
      <c r="E570" s="1" t="s">
        <v>39</v>
      </c>
      <c r="F570">
        <v>13</v>
      </c>
      <c r="G570">
        <v>221.2</v>
      </c>
      <c r="H570" s="1" t="s">
        <v>22</v>
      </c>
      <c r="I570" s="1" t="s">
        <v>40</v>
      </c>
      <c r="J570" s="2">
        <v>45808</v>
      </c>
      <c r="K570" s="1" t="s">
        <v>26</v>
      </c>
      <c r="L570" s="1">
        <f>IF(Subscriptions[[#This Row],[churned]]="Yes",1,0)</f>
        <v>0</v>
      </c>
      <c r="M570" s="2"/>
      <c r="N570" s="1" t="s">
        <v>30</v>
      </c>
      <c r="O570">
        <v>5</v>
      </c>
      <c r="P570">
        <v>5</v>
      </c>
      <c r="Q570">
        <v>53</v>
      </c>
      <c r="R570" s="1" t="s">
        <v>26</v>
      </c>
    </row>
    <row r="571" spans="1:18" x14ac:dyDescent="0.35">
      <c r="A571" s="1" t="s">
        <v>627</v>
      </c>
      <c r="B571" s="1" t="s">
        <v>37</v>
      </c>
      <c r="C571" s="1" t="s">
        <v>28</v>
      </c>
      <c r="D571" s="1" t="s">
        <v>44</v>
      </c>
      <c r="E571" s="1" t="s">
        <v>39</v>
      </c>
      <c r="F571">
        <v>23</v>
      </c>
      <c r="G571">
        <v>727.34</v>
      </c>
      <c r="H571" s="1" t="s">
        <v>22</v>
      </c>
      <c r="I571" s="1" t="s">
        <v>23</v>
      </c>
      <c r="J571" s="2">
        <v>45419</v>
      </c>
      <c r="K571" s="1" t="s">
        <v>26</v>
      </c>
      <c r="L571" s="1">
        <f>IF(Subscriptions[[#This Row],[churned]]="Yes",1,0)</f>
        <v>0</v>
      </c>
      <c r="M571" s="2"/>
      <c r="N571" s="1" t="s">
        <v>30</v>
      </c>
      <c r="O571">
        <v>2</v>
      </c>
      <c r="P571">
        <v>5</v>
      </c>
      <c r="Q571">
        <v>19</v>
      </c>
      <c r="R571" s="1" t="s">
        <v>26</v>
      </c>
    </row>
    <row r="572" spans="1:18" x14ac:dyDescent="0.35">
      <c r="A572" s="1" t="s">
        <v>628</v>
      </c>
      <c r="B572" s="1" t="s">
        <v>32</v>
      </c>
      <c r="C572" s="1" t="s">
        <v>19</v>
      </c>
      <c r="D572" s="1" t="s">
        <v>71</v>
      </c>
      <c r="E572" s="1" t="s">
        <v>45</v>
      </c>
      <c r="F572">
        <v>2</v>
      </c>
      <c r="G572">
        <v>33.35</v>
      </c>
      <c r="H572" s="1" t="s">
        <v>46</v>
      </c>
      <c r="I572" s="1" t="s">
        <v>23</v>
      </c>
      <c r="J572" s="2">
        <v>44598</v>
      </c>
      <c r="K572" s="1" t="s">
        <v>24</v>
      </c>
      <c r="L572" s="1">
        <f>IF(Subscriptions[[#This Row],[churned]]="Yes",1,0)</f>
        <v>1</v>
      </c>
      <c r="M572" s="2">
        <v>44606</v>
      </c>
      <c r="N572" s="1" t="s">
        <v>53</v>
      </c>
      <c r="O572">
        <v>15</v>
      </c>
      <c r="P572">
        <v>1</v>
      </c>
      <c r="Q572">
        <v>15</v>
      </c>
      <c r="R572" s="1" t="s">
        <v>26</v>
      </c>
    </row>
    <row r="573" spans="1:18" x14ac:dyDescent="0.35">
      <c r="A573" s="1" t="s">
        <v>629</v>
      </c>
      <c r="B573" s="1" t="s">
        <v>32</v>
      </c>
      <c r="C573" s="1" t="s">
        <v>19</v>
      </c>
      <c r="D573" s="1" t="s">
        <v>42</v>
      </c>
      <c r="E573" s="1" t="s">
        <v>45</v>
      </c>
      <c r="F573">
        <v>3</v>
      </c>
      <c r="G573">
        <v>37.700000000000003</v>
      </c>
      <c r="H573" s="1" t="s">
        <v>101</v>
      </c>
      <c r="I573" s="1" t="s">
        <v>58</v>
      </c>
      <c r="J573" s="2">
        <v>44873</v>
      </c>
      <c r="K573" s="1" t="s">
        <v>24</v>
      </c>
      <c r="L573" s="1">
        <f>IF(Subscriptions[[#This Row],[churned]]="Yes",1,0)</f>
        <v>1</v>
      </c>
      <c r="M573" s="2">
        <v>45154</v>
      </c>
      <c r="N573" s="1" t="s">
        <v>53</v>
      </c>
      <c r="O573">
        <v>6</v>
      </c>
      <c r="P573">
        <v>5</v>
      </c>
      <c r="Q573">
        <v>33</v>
      </c>
      <c r="R573" s="1" t="s">
        <v>26</v>
      </c>
    </row>
    <row r="574" spans="1:18" x14ac:dyDescent="0.35">
      <c r="A574" s="1" t="s">
        <v>630</v>
      </c>
      <c r="B574" s="1" t="s">
        <v>18</v>
      </c>
      <c r="C574" s="1" t="s">
        <v>28</v>
      </c>
      <c r="D574" s="1" t="s">
        <v>82</v>
      </c>
      <c r="E574" s="1" t="s">
        <v>21</v>
      </c>
      <c r="F574">
        <v>34</v>
      </c>
      <c r="G574">
        <v>399.54</v>
      </c>
      <c r="H574" s="1" t="s">
        <v>35</v>
      </c>
      <c r="I574" s="1" t="s">
        <v>58</v>
      </c>
      <c r="J574" s="2">
        <v>44789</v>
      </c>
      <c r="K574" s="1" t="s">
        <v>26</v>
      </c>
      <c r="L574" s="1">
        <f>IF(Subscriptions[[#This Row],[churned]]="Yes",1,0)</f>
        <v>0</v>
      </c>
      <c r="M574" s="2"/>
      <c r="N574" s="1" t="s">
        <v>30</v>
      </c>
      <c r="O574">
        <v>6</v>
      </c>
      <c r="P574">
        <v>5</v>
      </c>
      <c r="Q574">
        <v>39</v>
      </c>
      <c r="R574" s="1" t="s">
        <v>26</v>
      </c>
    </row>
    <row r="575" spans="1:18" x14ac:dyDescent="0.35">
      <c r="A575" s="1" t="s">
        <v>631</v>
      </c>
      <c r="B575" s="1" t="s">
        <v>74</v>
      </c>
      <c r="C575" s="1" t="s">
        <v>19</v>
      </c>
      <c r="D575" s="1" t="s">
        <v>65</v>
      </c>
      <c r="E575" s="1" t="s">
        <v>21</v>
      </c>
      <c r="F575">
        <v>78</v>
      </c>
      <c r="G575">
        <v>6262.45</v>
      </c>
      <c r="H575" s="1" t="s">
        <v>63</v>
      </c>
      <c r="I575" s="1" t="s">
        <v>23</v>
      </c>
      <c r="J575" s="2">
        <v>45204</v>
      </c>
      <c r="K575" s="1" t="s">
        <v>26</v>
      </c>
      <c r="L575" s="1">
        <f>IF(Subscriptions[[#This Row],[churned]]="Yes",1,0)</f>
        <v>0</v>
      </c>
      <c r="M575" s="2"/>
      <c r="N575" s="1" t="s">
        <v>30</v>
      </c>
      <c r="O575">
        <v>1</v>
      </c>
      <c r="P575">
        <v>9</v>
      </c>
      <c r="Q575">
        <v>50</v>
      </c>
      <c r="R575" s="1" t="s">
        <v>24</v>
      </c>
    </row>
    <row r="576" spans="1:18" x14ac:dyDescent="0.35">
      <c r="A576" s="1" t="s">
        <v>632</v>
      </c>
      <c r="B576" s="1" t="s">
        <v>37</v>
      </c>
      <c r="C576" s="1" t="s">
        <v>28</v>
      </c>
      <c r="D576" s="1" t="s">
        <v>82</v>
      </c>
      <c r="E576" s="1" t="s">
        <v>21</v>
      </c>
      <c r="F576">
        <v>38</v>
      </c>
      <c r="G576">
        <v>1107.93</v>
      </c>
      <c r="H576" s="1" t="s">
        <v>46</v>
      </c>
      <c r="I576" s="1" t="s">
        <v>23</v>
      </c>
      <c r="J576" s="2">
        <v>45970</v>
      </c>
      <c r="K576" s="1" t="s">
        <v>26</v>
      </c>
      <c r="L576" s="1">
        <f>IF(Subscriptions[[#This Row],[churned]]="Yes",1,0)</f>
        <v>0</v>
      </c>
      <c r="M576" s="2"/>
      <c r="N576" s="1" t="s">
        <v>30</v>
      </c>
      <c r="O576">
        <v>11</v>
      </c>
      <c r="P576">
        <v>8</v>
      </c>
      <c r="Q576">
        <v>26</v>
      </c>
      <c r="R576" s="1" t="s">
        <v>26</v>
      </c>
    </row>
    <row r="577" spans="1:18" x14ac:dyDescent="0.35">
      <c r="A577" s="1" t="s">
        <v>633</v>
      </c>
      <c r="B577" s="1" t="s">
        <v>32</v>
      </c>
      <c r="C577" s="1" t="s">
        <v>28</v>
      </c>
      <c r="D577" s="1" t="s">
        <v>42</v>
      </c>
      <c r="E577" s="1" t="s">
        <v>45</v>
      </c>
      <c r="F577">
        <v>4</v>
      </c>
      <c r="G577">
        <v>35.74</v>
      </c>
      <c r="H577" s="1" t="s">
        <v>35</v>
      </c>
      <c r="I577" s="1" t="s">
        <v>23</v>
      </c>
      <c r="J577" s="2">
        <v>45438</v>
      </c>
      <c r="K577" s="1" t="s">
        <v>24</v>
      </c>
      <c r="L577" s="1">
        <f>IF(Subscriptions[[#This Row],[churned]]="Yes",1,0)</f>
        <v>1</v>
      </c>
      <c r="M577" s="2">
        <v>45457</v>
      </c>
      <c r="N577" s="1" t="s">
        <v>25</v>
      </c>
      <c r="O577">
        <v>1</v>
      </c>
      <c r="P577">
        <v>5</v>
      </c>
      <c r="Q577">
        <v>35</v>
      </c>
      <c r="R577" s="1" t="s">
        <v>26</v>
      </c>
    </row>
    <row r="578" spans="1:18" x14ac:dyDescent="0.35">
      <c r="A578" s="1" t="s">
        <v>634</v>
      </c>
      <c r="B578" s="1" t="s">
        <v>32</v>
      </c>
      <c r="C578" s="1" t="s">
        <v>28</v>
      </c>
      <c r="D578" s="1" t="s">
        <v>33</v>
      </c>
      <c r="E578" s="1" t="s">
        <v>48</v>
      </c>
      <c r="F578">
        <v>123</v>
      </c>
      <c r="G578">
        <v>475.74</v>
      </c>
      <c r="H578" s="1" t="s">
        <v>63</v>
      </c>
      <c r="I578" s="1" t="s">
        <v>23</v>
      </c>
      <c r="J578" s="2">
        <v>44791</v>
      </c>
      <c r="K578" s="1" t="s">
        <v>24</v>
      </c>
      <c r="L578" s="1">
        <f>IF(Subscriptions[[#This Row],[churned]]="Yes",1,0)</f>
        <v>1</v>
      </c>
      <c r="M578" s="2">
        <v>45168</v>
      </c>
      <c r="N578" s="1" t="s">
        <v>25</v>
      </c>
      <c r="O578">
        <v>5</v>
      </c>
      <c r="P578">
        <v>3</v>
      </c>
      <c r="Q578">
        <v>22</v>
      </c>
      <c r="R578" s="1" t="s">
        <v>26</v>
      </c>
    </row>
    <row r="579" spans="1:18" x14ac:dyDescent="0.35">
      <c r="A579" s="1" t="s">
        <v>635</v>
      </c>
      <c r="B579" s="1" t="s">
        <v>18</v>
      </c>
      <c r="C579" s="1" t="s">
        <v>19</v>
      </c>
      <c r="D579" s="1" t="s">
        <v>65</v>
      </c>
      <c r="E579" s="1" t="s">
        <v>34</v>
      </c>
      <c r="F579">
        <v>74</v>
      </c>
      <c r="G579">
        <v>944.05</v>
      </c>
      <c r="H579" s="1" t="s">
        <v>22</v>
      </c>
      <c r="I579" s="1" t="s">
        <v>23</v>
      </c>
      <c r="J579" s="2">
        <v>45359</v>
      </c>
      <c r="K579" s="1" t="s">
        <v>24</v>
      </c>
      <c r="L579" s="1">
        <f>IF(Subscriptions[[#This Row],[churned]]="Yes",1,0)</f>
        <v>1</v>
      </c>
      <c r="M579" s="2">
        <v>45956</v>
      </c>
      <c r="N579" s="1" t="s">
        <v>85</v>
      </c>
      <c r="O579">
        <v>9</v>
      </c>
      <c r="P579">
        <v>3</v>
      </c>
      <c r="Q579">
        <v>38</v>
      </c>
      <c r="R579" s="1" t="s">
        <v>26</v>
      </c>
    </row>
    <row r="580" spans="1:18" x14ac:dyDescent="0.35">
      <c r="A580" s="1" t="s">
        <v>636</v>
      </c>
      <c r="B580" s="1" t="s">
        <v>18</v>
      </c>
      <c r="C580" s="1" t="s">
        <v>19</v>
      </c>
      <c r="D580" s="1" t="s">
        <v>33</v>
      </c>
      <c r="E580" s="1" t="s">
        <v>39</v>
      </c>
      <c r="F580">
        <v>9</v>
      </c>
      <c r="G580">
        <v>173.8</v>
      </c>
      <c r="H580" s="1" t="s">
        <v>29</v>
      </c>
      <c r="I580" s="1" t="s">
        <v>23</v>
      </c>
      <c r="J580" s="2">
        <v>45922</v>
      </c>
      <c r="K580" s="1" t="s">
        <v>26</v>
      </c>
      <c r="L580" s="1">
        <f>IF(Subscriptions[[#This Row],[churned]]="Yes",1,0)</f>
        <v>0</v>
      </c>
      <c r="M580" s="2"/>
      <c r="N580" s="1" t="s">
        <v>30</v>
      </c>
      <c r="O580">
        <v>8</v>
      </c>
      <c r="P580">
        <v>8</v>
      </c>
      <c r="Q580">
        <v>74</v>
      </c>
      <c r="R580" s="1" t="s">
        <v>26</v>
      </c>
    </row>
    <row r="581" spans="1:18" x14ac:dyDescent="0.35">
      <c r="A581" s="1" t="s">
        <v>637</v>
      </c>
      <c r="B581" s="1" t="s">
        <v>18</v>
      </c>
      <c r="C581" s="1" t="s">
        <v>19</v>
      </c>
      <c r="D581" s="1" t="s">
        <v>65</v>
      </c>
      <c r="E581" s="1" t="s">
        <v>48</v>
      </c>
      <c r="F581">
        <v>33</v>
      </c>
      <c r="G581">
        <v>458.2</v>
      </c>
      <c r="H581" s="1" t="s">
        <v>46</v>
      </c>
      <c r="I581" s="1" t="s">
        <v>23</v>
      </c>
      <c r="J581" s="2">
        <v>45371</v>
      </c>
      <c r="K581" s="1" t="s">
        <v>24</v>
      </c>
      <c r="L581" s="1">
        <f>IF(Subscriptions[[#This Row],[churned]]="Yes",1,0)</f>
        <v>1</v>
      </c>
      <c r="M581" s="2">
        <v>45565</v>
      </c>
      <c r="N581" s="1" t="s">
        <v>25</v>
      </c>
      <c r="O581">
        <v>13</v>
      </c>
      <c r="P581">
        <v>2</v>
      </c>
      <c r="Q581">
        <v>39</v>
      </c>
      <c r="R581" s="1" t="s">
        <v>26</v>
      </c>
    </row>
    <row r="582" spans="1:18" x14ac:dyDescent="0.35">
      <c r="A582" s="1" t="s">
        <v>638</v>
      </c>
      <c r="B582" s="1" t="s">
        <v>37</v>
      </c>
      <c r="C582" s="1" t="s">
        <v>19</v>
      </c>
      <c r="D582" s="1" t="s">
        <v>44</v>
      </c>
      <c r="E582" s="1" t="s">
        <v>48</v>
      </c>
      <c r="F582">
        <v>105</v>
      </c>
      <c r="G582">
        <v>3303.4</v>
      </c>
      <c r="H582" s="1" t="s">
        <v>29</v>
      </c>
      <c r="I582" s="1" t="s">
        <v>58</v>
      </c>
      <c r="J582" s="2">
        <v>45606</v>
      </c>
      <c r="K582" s="1" t="s">
        <v>26</v>
      </c>
      <c r="L582" s="1">
        <f>IF(Subscriptions[[#This Row],[churned]]="Yes",1,0)</f>
        <v>0</v>
      </c>
      <c r="M582" s="2"/>
      <c r="N582" s="1" t="s">
        <v>30</v>
      </c>
      <c r="O582">
        <v>0</v>
      </c>
      <c r="P582">
        <v>8</v>
      </c>
      <c r="Q582">
        <v>75</v>
      </c>
      <c r="R582" s="1" t="s">
        <v>24</v>
      </c>
    </row>
    <row r="583" spans="1:18" x14ac:dyDescent="0.35">
      <c r="A583" s="1" t="s">
        <v>639</v>
      </c>
      <c r="B583" s="1" t="s">
        <v>18</v>
      </c>
      <c r="C583" s="1" t="s">
        <v>19</v>
      </c>
      <c r="D583" s="1" t="s">
        <v>82</v>
      </c>
      <c r="E583" s="1" t="s">
        <v>39</v>
      </c>
      <c r="F583">
        <v>35</v>
      </c>
      <c r="G583">
        <v>481.9</v>
      </c>
      <c r="H583" s="1" t="s">
        <v>35</v>
      </c>
      <c r="I583" s="1" t="s">
        <v>23</v>
      </c>
      <c r="J583" s="2">
        <v>45249</v>
      </c>
      <c r="K583" s="1" t="s">
        <v>24</v>
      </c>
      <c r="L583" s="1">
        <f>IF(Subscriptions[[#This Row],[churned]]="Yes",1,0)</f>
        <v>1</v>
      </c>
      <c r="M583" s="2">
        <v>45854</v>
      </c>
      <c r="N583" s="1" t="s">
        <v>49</v>
      </c>
      <c r="O583">
        <v>0</v>
      </c>
      <c r="P583">
        <v>2</v>
      </c>
      <c r="Q583">
        <v>32</v>
      </c>
      <c r="R583" s="1" t="s">
        <v>26</v>
      </c>
    </row>
    <row r="584" spans="1:18" x14ac:dyDescent="0.35">
      <c r="A584" s="1" t="s">
        <v>640</v>
      </c>
      <c r="B584" s="1" t="s">
        <v>18</v>
      </c>
      <c r="C584" s="1" t="s">
        <v>19</v>
      </c>
      <c r="D584" s="1" t="s">
        <v>33</v>
      </c>
      <c r="E584" s="1" t="s">
        <v>45</v>
      </c>
      <c r="F584">
        <v>4</v>
      </c>
      <c r="G584">
        <v>114.55</v>
      </c>
      <c r="H584" s="1" t="s">
        <v>101</v>
      </c>
      <c r="I584" s="1" t="s">
        <v>23</v>
      </c>
      <c r="J584" s="2">
        <v>45825</v>
      </c>
      <c r="K584" s="1" t="s">
        <v>24</v>
      </c>
      <c r="L584" s="1">
        <f>IF(Subscriptions[[#This Row],[churned]]="Yes",1,0)</f>
        <v>1</v>
      </c>
      <c r="M584" s="2">
        <v>45827</v>
      </c>
      <c r="N584" s="1" t="s">
        <v>25</v>
      </c>
      <c r="O584">
        <v>3</v>
      </c>
      <c r="P584">
        <v>5</v>
      </c>
      <c r="Q584">
        <v>50</v>
      </c>
      <c r="R584" s="1" t="s">
        <v>26</v>
      </c>
    </row>
    <row r="585" spans="1:18" x14ac:dyDescent="0.35">
      <c r="A585" s="1" t="s">
        <v>641</v>
      </c>
      <c r="B585" s="1" t="s">
        <v>37</v>
      </c>
      <c r="C585" s="1" t="s">
        <v>19</v>
      </c>
      <c r="D585" s="1" t="s">
        <v>52</v>
      </c>
      <c r="E585" s="1" t="s">
        <v>39</v>
      </c>
      <c r="F585">
        <v>18</v>
      </c>
      <c r="G585">
        <v>706.45</v>
      </c>
      <c r="H585" s="1" t="s">
        <v>22</v>
      </c>
      <c r="I585" s="1" t="s">
        <v>23</v>
      </c>
      <c r="J585" s="2">
        <v>45956</v>
      </c>
      <c r="K585" s="1" t="s">
        <v>26</v>
      </c>
      <c r="L585" s="1">
        <f>IF(Subscriptions[[#This Row],[churned]]="Yes",1,0)</f>
        <v>0</v>
      </c>
      <c r="M585" s="2"/>
      <c r="N585" s="1" t="s">
        <v>30</v>
      </c>
      <c r="O585">
        <v>0</v>
      </c>
      <c r="P585">
        <v>1</v>
      </c>
      <c r="Q585">
        <v>37</v>
      </c>
      <c r="R585" s="1" t="s">
        <v>26</v>
      </c>
    </row>
    <row r="586" spans="1:18" x14ac:dyDescent="0.35">
      <c r="A586" s="1" t="s">
        <v>642</v>
      </c>
      <c r="B586" s="1" t="s">
        <v>37</v>
      </c>
      <c r="C586" s="1" t="s">
        <v>19</v>
      </c>
      <c r="D586" s="1" t="s">
        <v>44</v>
      </c>
      <c r="E586" s="1" t="s">
        <v>39</v>
      </c>
      <c r="F586">
        <v>5</v>
      </c>
      <c r="G586">
        <v>318.39999999999998</v>
      </c>
      <c r="H586" s="1" t="s">
        <v>29</v>
      </c>
      <c r="I586" s="1" t="s">
        <v>23</v>
      </c>
      <c r="J586" s="2">
        <v>45246</v>
      </c>
      <c r="K586" s="1" t="s">
        <v>26</v>
      </c>
      <c r="L586" s="1">
        <f>IF(Subscriptions[[#This Row],[churned]]="Yes",1,0)</f>
        <v>0</v>
      </c>
      <c r="M586" s="2"/>
      <c r="N586" s="1" t="s">
        <v>30</v>
      </c>
      <c r="O586">
        <v>0</v>
      </c>
      <c r="P586">
        <v>4</v>
      </c>
      <c r="Q586">
        <v>77</v>
      </c>
      <c r="R586" s="1" t="s">
        <v>24</v>
      </c>
    </row>
    <row r="587" spans="1:18" x14ac:dyDescent="0.35">
      <c r="A587" s="1" t="s">
        <v>643</v>
      </c>
      <c r="B587" s="1" t="s">
        <v>32</v>
      </c>
      <c r="C587" s="1" t="s">
        <v>19</v>
      </c>
      <c r="D587" s="1" t="s">
        <v>55</v>
      </c>
      <c r="E587" s="1" t="s">
        <v>48</v>
      </c>
      <c r="F587">
        <v>116</v>
      </c>
      <c r="G587">
        <v>529.25</v>
      </c>
      <c r="H587" s="1" t="s">
        <v>63</v>
      </c>
      <c r="I587" s="1" t="s">
        <v>23</v>
      </c>
      <c r="J587" s="2">
        <v>45941</v>
      </c>
      <c r="K587" s="1" t="s">
        <v>26</v>
      </c>
      <c r="L587" s="1">
        <f>IF(Subscriptions[[#This Row],[churned]]="Yes",1,0)</f>
        <v>0</v>
      </c>
      <c r="M587" s="2"/>
      <c r="N587" s="1" t="s">
        <v>30</v>
      </c>
      <c r="O587">
        <v>6</v>
      </c>
      <c r="P587">
        <v>3</v>
      </c>
      <c r="Q587">
        <v>68</v>
      </c>
      <c r="R587" s="1" t="s">
        <v>26</v>
      </c>
    </row>
    <row r="588" spans="1:18" x14ac:dyDescent="0.35">
      <c r="A588" s="1" t="s">
        <v>644</v>
      </c>
      <c r="B588" s="1" t="s">
        <v>37</v>
      </c>
      <c r="C588" s="1" t="s">
        <v>19</v>
      </c>
      <c r="D588" s="1" t="s">
        <v>44</v>
      </c>
      <c r="E588" s="1" t="s">
        <v>45</v>
      </c>
      <c r="F588">
        <v>1</v>
      </c>
      <c r="G588">
        <v>199</v>
      </c>
      <c r="H588" s="1" t="s">
        <v>46</v>
      </c>
      <c r="I588" s="1" t="s">
        <v>72</v>
      </c>
      <c r="J588" s="2">
        <v>44808</v>
      </c>
      <c r="K588" s="1" t="s">
        <v>26</v>
      </c>
      <c r="L588" s="1">
        <f>IF(Subscriptions[[#This Row],[churned]]="Yes",1,0)</f>
        <v>0</v>
      </c>
      <c r="M588" s="2"/>
      <c r="N588" s="1" t="s">
        <v>30</v>
      </c>
      <c r="O588">
        <v>2</v>
      </c>
      <c r="P588">
        <v>6</v>
      </c>
      <c r="Q588">
        <v>84</v>
      </c>
      <c r="R588" s="1" t="s">
        <v>24</v>
      </c>
    </row>
    <row r="589" spans="1:18" x14ac:dyDescent="0.35">
      <c r="A589" s="1" t="s">
        <v>645</v>
      </c>
      <c r="B589" s="1" t="s">
        <v>37</v>
      </c>
      <c r="C589" s="1" t="s">
        <v>19</v>
      </c>
      <c r="D589" s="1" t="s">
        <v>20</v>
      </c>
      <c r="E589" s="1" t="s">
        <v>39</v>
      </c>
      <c r="F589">
        <v>33</v>
      </c>
      <c r="G589">
        <v>1154.2</v>
      </c>
      <c r="H589" s="1" t="s">
        <v>22</v>
      </c>
      <c r="I589" s="1" t="s">
        <v>72</v>
      </c>
      <c r="J589" s="2">
        <v>44943</v>
      </c>
      <c r="K589" s="1" t="s">
        <v>24</v>
      </c>
      <c r="L589" s="1">
        <f>IF(Subscriptions[[#This Row],[churned]]="Yes",1,0)</f>
        <v>1</v>
      </c>
      <c r="M589" s="2">
        <v>45857</v>
      </c>
      <c r="N589" s="1" t="s">
        <v>53</v>
      </c>
      <c r="O589">
        <v>1</v>
      </c>
      <c r="P589">
        <v>3</v>
      </c>
      <c r="Q589">
        <v>37</v>
      </c>
      <c r="R589" s="1" t="s">
        <v>26</v>
      </c>
    </row>
    <row r="590" spans="1:18" x14ac:dyDescent="0.35">
      <c r="A590" s="1" t="s">
        <v>646</v>
      </c>
      <c r="B590" s="1" t="s">
        <v>32</v>
      </c>
      <c r="C590" s="1" t="s">
        <v>28</v>
      </c>
      <c r="D590" s="1" t="s">
        <v>55</v>
      </c>
      <c r="E590" s="1" t="s">
        <v>45</v>
      </c>
      <c r="F590">
        <v>7</v>
      </c>
      <c r="G590">
        <v>46.83</v>
      </c>
      <c r="H590" s="1" t="s">
        <v>46</v>
      </c>
      <c r="I590" s="1" t="s">
        <v>72</v>
      </c>
      <c r="J590" s="2">
        <v>45251</v>
      </c>
      <c r="K590" s="1" t="s">
        <v>24</v>
      </c>
      <c r="L590" s="1">
        <f>IF(Subscriptions[[#This Row],[churned]]="Yes",1,0)</f>
        <v>1</v>
      </c>
      <c r="M590" s="2">
        <v>45481</v>
      </c>
      <c r="N590" s="1" t="s">
        <v>56</v>
      </c>
      <c r="O590">
        <v>11</v>
      </c>
      <c r="P590">
        <v>1</v>
      </c>
      <c r="Q590">
        <v>18</v>
      </c>
      <c r="R590" s="1" t="s">
        <v>26</v>
      </c>
    </row>
    <row r="591" spans="1:18" x14ac:dyDescent="0.35">
      <c r="A591" s="1" t="s">
        <v>647</v>
      </c>
      <c r="B591" s="1" t="s">
        <v>32</v>
      </c>
      <c r="C591" s="1" t="s">
        <v>19</v>
      </c>
      <c r="D591" s="1" t="s">
        <v>82</v>
      </c>
      <c r="E591" s="1" t="s">
        <v>39</v>
      </c>
      <c r="F591">
        <v>21</v>
      </c>
      <c r="G591">
        <v>116</v>
      </c>
      <c r="H591" s="1" t="s">
        <v>22</v>
      </c>
      <c r="I591" s="1" t="s">
        <v>72</v>
      </c>
      <c r="J591" s="2">
        <v>45189</v>
      </c>
      <c r="K591" s="1" t="s">
        <v>24</v>
      </c>
      <c r="L591" s="1">
        <f>IF(Subscriptions[[#This Row],[churned]]="Yes",1,0)</f>
        <v>1</v>
      </c>
      <c r="M591" s="2">
        <v>45251</v>
      </c>
      <c r="N591" s="1" t="s">
        <v>66</v>
      </c>
      <c r="O591">
        <v>11</v>
      </c>
      <c r="P591">
        <v>3</v>
      </c>
      <c r="Q591">
        <v>16</v>
      </c>
      <c r="R591" s="1" t="s">
        <v>26</v>
      </c>
    </row>
    <row r="592" spans="1:18" x14ac:dyDescent="0.35">
      <c r="A592" s="1" t="s">
        <v>648</v>
      </c>
      <c r="B592" s="1" t="s">
        <v>37</v>
      </c>
      <c r="C592" s="1" t="s">
        <v>19</v>
      </c>
      <c r="D592" s="1" t="s">
        <v>44</v>
      </c>
      <c r="E592" s="1" t="s">
        <v>39</v>
      </c>
      <c r="F592">
        <v>6</v>
      </c>
      <c r="G592">
        <v>348.25</v>
      </c>
      <c r="H592" s="1" t="s">
        <v>22</v>
      </c>
      <c r="I592" s="1" t="s">
        <v>23</v>
      </c>
      <c r="J592" s="2">
        <v>45252</v>
      </c>
      <c r="K592" s="1" t="s">
        <v>26</v>
      </c>
      <c r="L592" s="1">
        <f>IF(Subscriptions[[#This Row],[churned]]="Yes",1,0)</f>
        <v>0</v>
      </c>
      <c r="M592" s="2"/>
      <c r="N592" s="1" t="s">
        <v>30</v>
      </c>
      <c r="O592">
        <v>1</v>
      </c>
      <c r="P592">
        <v>2</v>
      </c>
      <c r="Q592">
        <v>27</v>
      </c>
      <c r="R592" s="1" t="s">
        <v>24</v>
      </c>
    </row>
    <row r="593" spans="1:18" x14ac:dyDescent="0.35">
      <c r="A593" s="1" t="s">
        <v>649</v>
      </c>
      <c r="B593" s="1" t="s">
        <v>18</v>
      </c>
      <c r="C593" s="1" t="s">
        <v>19</v>
      </c>
      <c r="D593" s="1" t="s">
        <v>52</v>
      </c>
      <c r="E593" s="1" t="s">
        <v>39</v>
      </c>
      <c r="F593">
        <v>6</v>
      </c>
      <c r="G593">
        <v>138.25</v>
      </c>
      <c r="H593" s="1" t="s">
        <v>35</v>
      </c>
      <c r="I593" s="1" t="s">
        <v>40</v>
      </c>
      <c r="J593" s="2">
        <v>44836</v>
      </c>
      <c r="K593" s="1" t="s">
        <v>24</v>
      </c>
      <c r="L593" s="1">
        <f>IF(Subscriptions[[#This Row],[churned]]="Yes",1,0)</f>
        <v>1</v>
      </c>
      <c r="M593" s="2">
        <v>45335</v>
      </c>
      <c r="N593" s="1" t="s">
        <v>49</v>
      </c>
      <c r="O593">
        <v>5</v>
      </c>
      <c r="P593">
        <v>3</v>
      </c>
      <c r="Q593">
        <v>11</v>
      </c>
      <c r="R593" s="1" t="s">
        <v>26</v>
      </c>
    </row>
    <row r="594" spans="1:18" x14ac:dyDescent="0.35">
      <c r="A594" s="1" t="s">
        <v>650</v>
      </c>
      <c r="B594" s="1" t="s">
        <v>37</v>
      </c>
      <c r="C594" s="1" t="s">
        <v>19</v>
      </c>
      <c r="D594" s="1" t="s">
        <v>38</v>
      </c>
      <c r="E594" s="1" t="s">
        <v>21</v>
      </c>
      <c r="F594">
        <v>47</v>
      </c>
      <c r="G594">
        <v>1572.1</v>
      </c>
      <c r="H594" s="1" t="s">
        <v>22</v>
      </c>
      <c r="I594" s="1" t="s">
        <v>23</v>
      </c>
      <c r="J594" s="2">
        <v>44964</v>
      </c>
      <c r="K594" s="1" t="s">
        <v>26</v>
      </c>
      <c r="L594" s="1">
        <f>IF(Subscriptions[[#This Row],[churned]]="Yes",1,0)</f>
        <v>0</v>
      </c>
      <c r="M594" s="2"/>
      <c r="N594" s="1" t="s">
        <v>30</v>
      </c>
      <c r="O594">
        <v>1</v>
      </c>
      <c r="P594">
        <v>9</v>
      </c>
      <c r="Q594">
        <v>27</v>
      </c>
      <c r="R594" s="1" t="s">
        <v>26</v>
      </c>
    </row>
    <row r="595" spans="1:18" x14ac:dyDescent="0.35">
      <c r="A595" s="1" t="s">
        <v>651</v>
      </c>
      <c r="B595" s="1" t="s">
        <v>37</v>
      </c>
      <c r="C595" s="1" t="s">
        <v>28</v>
      </c>
      <c r="D595" s="1" t="s">
        <v>71</v>
      </c>
      <c r="E595" s="1" t="s">
        <v>21</v>
      </c>
      <c r="F595">
        <v>76</v>
      </c>
      <c r="G595">
        <v>2072.09</v>
      </c>
      <c r="H595" s="1" t="s">
        <v>22</v>
      </c>
      <c r="I595" s="1" t="s">
        <v>58</v>
      </c>
      <c r="J595" s="2">
        <v>44909</v>
      </c>
      <c r="K595" s="1" t="s">
        <v>24</v>
      </c>
      <c r="L595" s="1">
        <f>IF(Subscriptions[[#This Row],[churned]]="Yes",1,0)</f>
        <v>1</v>
      </c>
      <c r="M595" s="2">
        <v>45026</v>
      </c>
      <c r="N595" s="1" t="s">
        <v>25</v>
      </c>
      <c r="O595">
        <v>4</v>
      </c>
      <c r="P595">
        <v>2</v>
      </c>
      <c r="Q595">
        <v>35</v>
      </c>
      <c r="R595" s="1" t="s">
        <v>26</v>
      </c>
    </row>
    <row r="596" spans="1:18" x14ac:dyDescent="0.35">
      <c r="A596" s="1" t="s">
        <v>652</v>
      </c>
      <c r="B596" s="1" t="s">
        <v>37</v>
      </c>
      <c r="C596" s="1" t="s">
        <v>19</v>
      </c>
      <c r="D596" s="1" t="s">
        <v>42</v>
      </c>
      <c r="E596" s="1" t="s">
        <v>39</v>
      </c>
      <c r="F596">
        <v>11</v>
      </c>
      <c r="G596">
        <v>497.5</v>
      </c>
      <c r="H596" s="1" t="s">
        <v>22</v>
      </c>
      <c r="I596" s="1" t="s">
        <v>40</v>
      </c>
      <c r="J596" s="2">
        <v>45027</v>
      </c>
      <c r="K596" s="1" t="s">
        <v>24</v>
      </c>
      <c r="L596" s="1">
        <f>IF(Subscriptions[[#This Row],[churned]]="Yes",1,0)</f>
        <v>1</v>
      </c>
      <c r="M596" s="2">
        <v>45610</v>
      </c>
      <c r="N596" s="1" t="s">
        <v>85</v>
      </c>
      <c r="O596">
        <v>3</v>
      </c>
      <c r="P596">
        <v>3</v>
      </c>
      <c r="Q596">
        <v>48</v>
      </c>
      <c r="R596" s="1" t="s">
        <v>26</v>
      </c>
    </row>
    <row r="597" spans="1:18" x14ac:dyDescent="0.35">
      <c r="A597" s="1" t="s">
        <v>653</v>
      </c>
      <c r="B597" s="1" t="s">
        <v>18</v>
      </c>
      <c r="C597" s="1" t="s">
        <v>28</v>
      </c>
      <c r="D597" s="1" t="s">
        <v>55</v>
      </c>
      <c r="E597" s="1" t="s">
        <v>39</v>
      </c>
      <c r="F597">
        <v>32</v>
      </c>
      <c r="G597">
        <v>379.4</v>
      </c>
      <c r="H597" s="1" t="s">
        <v>46</v>
      </c>
      <c r="I597" s="1" t="s">
        <v>23</v>
      </c>
      <c r="J597" s="2">
        <v>45631</v>
      </c>
      <c r="K597" s="1" t="s">
        <v>26</v>
      </c>
      <c r="L597" s="1">
        <f>IF(Subscriptions[[#This Row],[churned]]="Yes",1,0)</f>
        <v>0</v>
      </c>
      <c r="M597" s="2"/>
      <c r="N597" s="1" t="s">
        <v>30</v>
      </c>
      <c r="O597">
        <v>3</v>
      </c>
      <c r="P597">
        <v>6</v>
      </c>
      <c r="Q597">
        <v>65</v>
      </c>
      <c r="R597" s="1" t="s">
        <v>24</v>
      </c>
    </row>
    <row r="598" spans="1:18" x14ac:dyDescent="0.35">
      <c r="A598" s="1" t="s">
        <v>654</v>
      </c>
      <c r="B598" s="1" t="s">
        <v>18</v>
      </c>
      <c r="C598" s="1" t="s">
        <v>28</v>
      </c>
      <c r="D598" s="1" t="s">
        <v>44</v>
      </c>
      <c r="E598" s="1" t="s">
        <v>48</v>
      </c>
      <c r="F598">
        <v>106</v>
      </c>
      <c r="G598">
        <v>1124.76</v>
      </c>
      <c r="H598" s="1" t="s">
        <v>29</v>
      </c>
      <c r="I598" s="1" t="s">
        <v>40</v>
      </c>
      <c r="J598" s="2">
        <v>45102</v>
      </c>
      <c r="K598" s="1" t="s">
        <v>26</v>
      </c>
      <c r="L598" s="1">
        <f>IF(Subscriptions[[#This Row],[churned]]="Yes",1,0)</f>
        <v>0</v>
      </c>
      <c r="M598" s="2"/>
      <c r="N598" s="1" t="s">
        <v>30</v>
      </c>
      <c r="O598">
        <v>3</v>
      </c>
      <c r="P598">
        <v>3</v>
      </c>
      <c r="Q598">
        <v>57</v>
      </c>
      <c r="R598" s="1" t="s">
        <v>26</v>
      </c>
    </row>
    <row r="599" spans="1:18" x14ac:dyDescent="0.35">
      <c r="A599" s="1" t="s">
        <v>655</v>
      </c>
      <c r="B599" s="1" t="s">
        <v>32</v>
      </c>
      <c r="C599" s="1" t="s">
        <v>19</v>
      </c>
      <c r="D599" s="1" t="s">
        <v>44</v>
      </c>
      <c r="E599" s="1" t="s">
        <v>48</v>
      </c>
      <c r="F599">
        <v>84</v>
      </c>
      <c r="G599">
        <v>390.05</v>
      </c>
      <c r="H599" s="1" t="s">
        <v>22</v>
      </c>
      <c r="I599" s="1" t="s">
        <v>72</v>
      </c>
      <c r="J599" s="2">
        <v>45174</v>
      </c>
      <c r="K599" s="1" t="s">
        <v>26</v>
      </c>
      <c r="L599" s="1">
        <f>IF(Subscriptions[[#This Row],[churned]]="Yes",1,0)</f>
        <v>0</v>
      </c>
      <c r="M599" s="2"/>
      <c r="N599" s="1" t="s">
        <v>30</v>
      </c>
      <c r="O599">
        <v>3</v>
      </c>
      <c r="P599">
        <v>4</v>
      </c>
      <c r="Q599">
        <v>67</v>
      </c>
      <c r="R599" s="1" t="s">
        <v>26</v>
      </c>
    </row>
    <row r="600" spans="1:18" x14ac:dyDescent="0.35">
      <c r="A600" s="1" t="s">
        <v>656</v>
      </c>
      <c r="B600" s="1" t="s">
        <v>18</v>
      </c>
      <c r="C600" s="1" t="s">
        <v>28</v>
      </c>
      <c r="D600" s="1" t="s">
        <v>20</v>
      </c>
      <c r="E600" s="1" t="s">
        <v>39</v>
      </c>
      <c r="F600">
        <v>18</v>
      </c>
      <c r="G600">
        <v>238.38</v>
      </c>
      <c r="H600" s="1" t="s">
        <v>22</v>
      </c>
      <c r="I600" s="1" t="s">
        <v>23</v>
      </c>
      <c r="J600" s="2">
        <v>45107</v>
      </c>
      <c r="K600" s="1" t="s">
        <v>26</v>
      </c>
      <c r="L600" s="1">
        <f>IF(Subscriptions[[#This Row],[churned]]="Yes",1,0)</f>
        <v>0</v>
      </c>
      <c r="M600" s="2"/>
      <c r="N600" s="1" t="s">
        <v>30</v>
      </c>
      <c r="O600">
        <v>11</v>
      </c>
      <c r="P600">
        <v>4</v>
      </c>
      <c r="Q600">
        <v>50</v>
      </c>
      <c r="R600" s="1" t="s">
        <v>26</v>
      </c>
    </row>
    <row r="601" spans="1:18" x14ac:dyDescent="0.35">
      <c r="A601" s="1" t="s">
        <v>657</v>
      </c>
      <c r="B601" s="1" t="s">
        <v>32</v>
      </c>
      <c r="C601" s="1" t="s">
        <v>19</v>
      </c>
      <c r="D601" s="1" t="s">
        <v>52</v>
      </c>
      <c r="E601" s="1" t="s">
        <v>34</v>
      </c>
      <c r="F601">
        <v>87</v>
      </c>
      <c r="G601">
        <v>403.1</v>
      </c>
      <c r="H601" s="1" t="s">
        <v>35</v>
      </c>
      <c r="I601" s="1" t="s">
        <v>40</v>
      </c>
      <c r="J601" s="2">
        <v>45976</v>
      </c>
      <c r="K601" s="1" t="s">
        <v>26</v>
      </c>
      <c r="L601" s="1">
        <f>IF(Subscriptions[[#This Row],[churned]]="Yes",1,0)</f>
        <v>0</v>
      </c>
      <c r="M601" s="2"/>
      <c r="N601" s="1" t="s">
        <v>30</v>
      </c>
      <c r="O601">
        <v>10</v>
      </c>
      <c r="P601">
        <v>10</v>
      </c>
      <c r="Q601">
        <v>70</v>
      </c>
      <c r="R601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BEE03-5F29-4454-B8DE-992AFB2F1CEB}">
  <dimension ref="A1:J49"/>
  <sheetViews>
    <sheetView workbookViewId="0">
      <selection activeCell="J22" sqref="J22"/>
    </sheetView>
  </sheetViews>
  <sheetFormatPr defaultRowHeight="13.5" x14ac:dyDescent="0.35"/>
  <cols>
    <col min="1" max="1" width="8.6875" bestFit="1" customWidth="1"/>
    <col min="2" max="2" width="23.1875" bestFit="1" customWidth="1"/>
    <col min="3" max="3" width="16.5625" bestFit="1" customWidth="1"/>
    <col min="4" max="4" width="20.25" bestFit="1" customWidth="1"/>
    <col min="5" max="5" width="24.1875" bestFit="1" customWidth="1"/>
    <col min="6" max="6" width="10.625" bestFit="1" customWidth="1"/>
    <col min="7" max="7" width="27.1875" bestFit="1" customWidth="1"/>
    <col min="8" max="8" width="26.5" bestFit="1" customWidth="1"/>
  </cols>
  <sheetData>
    <row r="1" spans="1:8" x14ac:dyDescent="0.35">
      <c r="A1" t="s">
        <v>658</v>
      </c>
      <c r="B1" t="s">
        <v>659</v>
      </c>
      <c r="C1" t="s">
        <v>660</v>
      </c>
      <c r="D1" t="s">
        <v>661</v>
      </c>
      <c r="E1" t="s">
        <v>662</v>
      </c>
      <c r="F1" t="s">
        <v>663</v>
      </c>
      <c r="G1" t="s">
        <v>664</v>
      </c>
      <c r="H1" t="s">
        <v>665</v>
      </c>
    </row>
    <row r="2" spans="1:8" x14ac:dyDescent="0.35">
      <c r="A2" s="2">
        <v>44562</v>
      </c>
      <c r="B2">
        <v>0</v>
      </c>
      <c r="C2">
        <v>5</v>
      </c>
      <c r="D2">
        <v>0</v>
      </c>
      <c r="E2">
        <v>0</v>
      </c>
      <c r="F2">
        <v>0</v>
      </c>
      <c r="G2">
        <v>0</v>
      </c>
      <c r="H2">
        <v>164.92</v>
      </c>
    </row>
    <row r="3" spans="1:8" x14ac:dyDescent="0.35">
      <c r="A3" s="2">
        <v>44593</v>
      </c>
      <c r="B3">
        <v>5</v>
      </c>
      <c r="C3">
        <v>10</v>
      </c>
      <c r="D3">
        <v>1</v>
      </c>
      <c r="E3">
        <v>20</v>
      </c>
      <c r="F3">
        <v>7333.07</v>
      </c>
      <c r="G3">
        <v>1466.61</v>
      </c>
      <c r="H3">
        <v>189.21</v>
      </c>
    </row>
    <row r="4" spans="1:8" x14ac:dyDescent="0.35">
      <c r="A4" s="2">
        <v>44621</v>
      </c>
      <c r="B4">
        <v>14</v>
      </c>
      <c r="C4">
        <v>13</v>
      </c>
      <c r="D4">
        <v>0</v>
      </c>
      <c r="E4">
        <v>0</v>
      </c>
      <c r="F4">
        <v>12301.16</v>
      </c>
      <c r="G4">
        <v>878.65</v>
      </c>
      <c r="H4">
        <v>139.49</v>
      </c>
    </row>
    <row r="5" spans="1:8" x14ac:dyDescent="0.35">
      <c r="A5" s="2">
        <v>44652</v>
      </c>
      <c r="B5">
        <v>28</v>
      </c>
      <c r="C5">
        <v>11</v>
      </c>
      <c r="D5">
        <v>3</v>
      </c>
      <c r="E5">
        <v>10.71</v>
      </c>
      <c r="F5">
        <v>24798.76</v>
      </c>
      <c r="G5">
        <v>885.67</v>
      </c>
      <c r="H5">
        <v>259.08999999999997</v>
      </c>
    </row>
    <row r="6" spans="1:8" x14ac:dyDescent="0.35">
      <c r="A6" s="2">
        <v>44682</v>
      </c>
      <c r="B6">
        <v>35</v>
      </c>
      <c r="C6">
        <v>11</v>
      </c>
      <c r="D6">
        <v>1</v>
      </c>
      <c r="E6">
        <v>2.86</v>
      </c>
      <c r="F6">
        <v>29091.88</v>
      </c>
      <c r="G6">
        <v>831.2</v>
      </c>
      <c r="H6">
        <v>152.96</v>
      </c>
    </row>
    <row r="7" spans="1:8" x14ac:dyDescent="0.35">
      <c r="A7" s="2">
        <v>44713</v>
      </c>
      <c r="B7">
        <v>46</v>
      </c>
      <c r="C7">
        <v>10</v>
      </c>
      <c r="D7">
        <v>2</v>
      </c>
      <c r="E7">
        <v>4.3499999999999996</v>
      </c>
      <c r="F7">
        <v>38919.93</v>
      </c>
      <c r="G7">
        <v>846.09</v>
      </c>
      <c r="H7">
        <v>248.89</v>
      </c>
    </row>
    <row r="8" spans="1:8" x14ac:dyDescent="0.35">
      <c r="A8" s="2">
        <v>44743</v>
      </c>
      <c r="B8">
        <v>53</v>
      </c>
      <c r="C8">
        <v>8</v>
      </c>
      <c r="D8">
        <v>6</v>
      </c>
      <c r="E8">
        <v>11.32</v>
      </c>
      <c r="F8">
        <v>45097.72</v>
      </c>
      <c r="G8">
        <v>850.9</v>
      </c>
      <c r="H8">
        <v>275.08</v>
      </c>
    </row>
    <row r="9" spans="1:8" x14ac:dyDescent="0.35">
      <c r="A9" s="2">
        <v>44774</v>
      </c>
      <c r="B9">
        <v>57</v>
      </c>
      <c r="C9">
        <v>18</v>
      </c>
      <c r="D9">
        <v>6</v>
      </c>
      <c r="E9">
        <v>10.53</v>
      </c>
      <c r="F9">
        <v>54140.41</v>
      </c>
      <c r="G9">
        <v>949.83</v>
      </c>
      <c r="H9">
        <v>193.48</v>
      </c>
    </row>
    <row r="10" spans="1:8" x14ac:dyDescent="0.35">
      <c r="A10" s="2">
        <v>44805</v>
      </c>
      <c r="B10">
        <v>67</v>
      </c>
      <c r="C10">
        <v>13</v>
      </c>
      <c r="D10">
        <v>5</v>
      </c>
      <c r="E10">
        <v>7.46</v>
      </c>
      <c r="F10">
        <v>65198</v>
      </c>
      <c r="G10">
        <v>973.1</v>
      </c>
      <c r="H10">
        <v>216</v>
      </c>
    </row>
    <row r="11" spans="1:8" x14ac:dyDescent="0.35">
      <c r="A11" s="2">
        <v>44835</v>
      </c>
      <c r="B11">
        <v>76</v>
      </c>
      <c r="C11">
        <v>16</v>
      </c>
      <c r="D11">
        <v>5</v>
      </c>
      <c r="E11">
        <v>6.58</v>
      </c>
      <c r="F11">
        <v>86824.16</v>
      </c>
      <c r="G11">
        <v>1142.42</v>
      </c>
      <c r="H11">
        <v>246.32</v>
      </c>
    </row>
    <row r="12" spans="1:8" x14ac:dyDescent="0.35">
      <c r="A12" s="2">
        <v>44866</v>
      </c>
      <c r="B12">
        <v>87</v>
      </c>
      <c r="C12">
        <v>14</v>
      </c>
      <c r="D12">
        <v>5</v>
      </c>
      <c r="E12">
        <v>5.75</v>
      </c>
      <c r="F12">
        <v>93168.11</v>
      </c>
      <c r="G12">
        <v>1070.9000000000001</v>
      </c>
      <c r="H12">
        <v>130.12</v>
      </c>
    </row>
    <row r="13" spans="1:8" x14ac:dyDescent="0.35">
      <c r="A13" s="2">
        <v>44896</v>
      </c>
      <c r="B13">
        <v>95</v>
      </c>
      <c r="C13">
        <v>14</v>
      </c>
      <c r="D13">
        <v>2</v>
      </c>
      <c r="E13">
        <v>2.11</v>
      </c>
      <c r="F13">
        <v>96100.66</v>
      </c>
      <c r="G13">
        <v>1011.59</v>
      </c>
      <c r="H13">
        <v>160.94</v>
      </c>
    </row>
    <row r="14" spans="1:8" x14ac:dyDescent="0.35">
      <c r="A14" s="2">
        <v>44927</v>
      </c>
      <c r="B14">
        <v>107</v>
      </c>
      <c r="C14">
        <v>12</v>
      </c>
      <c r="D14">
        <v>4</v>
      </c>
      <c r="E14">
        <v>3.74</v>
      </c>
      <c r="F14">
        <v>104773.35</v>
      </c>
      <c r="G14">
        <v>979.19</v>
      </c>
      <c r="H14">
        <v>258.64999999999998</v>
      </c>
    </row>
    <row r="15" spans="1:8" x14ac:dyDescent="0.35">
      <c r="A15" s="2">
        <v>44958</v>
      </c>
      <c r="B15">
        <v>115</v>
      </c>
      <c r="C15">
        <v>10</v>
      </c>
      <c r="D15">
        <v>3</v>
      </c>
      <c r="E15">
        <v>2.61</v>
      </c>
      <c r="F15">
        <v>115539.13</v>
      </c>
      <c r="G15">
        <v>1004.69</v>
      </c>
      <c r="H15">
        <v>262.48</v>
      </c>
    </row>
    <row r="16" spans="1:8" x14ac:dyDescent="0.35">
      <c r="A16" s="2">
        <v>44986</v>
      </c>
      <c r="B16">
        <v>123</v>
      </c>
      <c r="C16">
        <v>5</v>
      </c>
      <c r="D16">
        <v>2</v>
      </c>
      <c r="E16">
        <v>1.63</v>
      </c>
      <c r="F16">
        <v>125258.61</v>
      </c>
      <c r="G16">
        <v>1018.36</v>
      </c>
      <c r="H16">
        <v>274.97000000000003</v>
      </c>
    </row>
    <row r="17" spans="1:10" x14ac:dyDescent="0.35">
      <c r="A17" s="2">
        <v>45017</v>
      </c>
      <c r="B17">
        <v>125</v>
      </c>
      <c r="C17">
        <v>14</v>
      </c>
      <c r="D17">
        <v>8</v>
      </c>
      <c r="E17">
        <v>6.4</v>
      </c>
      <c r="F17">
        <v>129471.28</v>
      </c>
      <c r="G17">
        <v>1035.77</v>
      </c>
      <c r="H17">
        <v>271.47000000000003</v>
      </c>
    </row>
    <row r="18" spans="1:10" x14ac:dyDescent="0.35">
      <c r="A18" s="2">
        <v>45047</v>
      </c>
      <c r="B18">
        <v>133</v>
      </c>
      <c r="C18">
        <v>13</v>
      </c>
      <c r="D18">
        <v>4</v>
      </c>
      <c r="E18">
        <v>3.01</v>
      </c>
      <c r="F18">
        <v>142401.69</v>
      </c>
      <c r="G18">
        <v>1070.69</v>
      </c>
      <c r="H18">
        <v>122.99</v>
      </c>
    </row>
    <row r="19" spans="1:10" x14ac:dyDescent="0.35">
      <c r="A19" s="2">
        <v>45078</v>
      </c>
      <c r="B19">
        <v>140</v>
      </c>
      <c r="C19">
        <v>15</v>
      </c>
      <c r="D19">
        <v>10</v>
      </c>
      <c r="E19">
        <v>7.14</v>
      </c>
      <c r="F19">
        <v>142966.32</v>
      </c>
      <c r="G19">
        <v>1021.19</v>
      </c>
      <c r="H19">
        <v>161.5</v>
      </c>
    </row>
    <row r="20" spans="1:10" x14ac:dyDescent="0.35">
      <c r="A20" s="2">
        <v>45108</v>
      </c>
      <c r="B20">
        <v>145</v>
      </c>
      <c r="C20">
        <v>19</v>
      </c>
      <c r="D20">
        <v>7</v>
      </c>
      <c r="E20">
        <v>4.83</v>
      </c>
      <c r="F20">
        <v>147630.35999999999</v>
      </c>
      <c r="G20">
        <v>1018.14</v>
      </c>
      <c r="H20">
        <v>279.58999999999997</v>
      </c>
    </row>
    <row r="21" spans="1:10" x14ac:dyDescent="0.35">
      <c r="A21" s="2">
        <v>45139</v>
      </c>
      <c r="B21">
        <v>157</v>
      </c>
      <c r="C21">
        <v>10</v>
      </c>
      <c r="D21">
        <v>7</v>
      </c>
      <c r="E21">
        <v>4.46</v>
      </c>
      <c r="F21">
        <v>158920.70000000001</v>
      </c>
      <c r="G21">
        <v>1012.23</v>
      </c>
      <c r="H21">
        <v>131.26</v>
      </c>
      <c r="J21" s="11">
        <f>AVERAGE(MonthlyRevenue[customer_acquisition_cost])</f>
        <v>200.04062499999998</v>
      </c>
    </row>
    <row r="22" spans="1:10" x14ac:dyDescent="0.35">
      <c r="A22" s="2">
        <v>45170</v>
      </c>
      <c r="B22">
        <v>160</v>
      </c>
      <c r="C22">
        <v>17</v>
      </c>
      <c r="D22">
        <v>7</v>
      </c>
      <c r="E22">
        <v>4.38</v>
      </c>
      <c r="F22">
        <v>162830.01999999999</v>
      </c>
      <c r="G22">
        <v>1017.69</v>
      </c>
      <c r="H22">
        <v>258.93</v>
      </c>
    </row>
    <row r="23" spans="1:10" x14ac:dyDescent="0.35">
      <c r="A23" s="2">
        <v>45200</v>
      </c>
      <c r="B23">
        <v>170</v>
      </c>
      <c r="C23">
        <v>16</v>
      </c>
      <c r="D23">
        <v>5</v>
      </c>
      <c r="E23">
        <v>2.94</v>
      </c>
      <c r="F23">
        <v>170763.72</v>
      </c>
      <c r="G23">
        <v>1004.49</v>
      </c>
      <c r="H23">
        <v>240.01</v>
      </c>
    </row>
    <row r="24" spans="1:10" x14ac:dyDescent="0.35">
      <c r="A24" s="2">
        <v>45231</v>
      </c>
      <c r="B24">
        <v>181</v>
      </c>
      <c r="C24">
        <v>11</v>
      </c>
      <c r="D24">
        <v>8</v>
      </c>
      <c r="E24">
        <v>4.42</v>
      </c>
      <c r="F24">
        <v>184058.29</v>
      </c>
      <c r="G24">
        <v>1016.9</v>
      </c>
      <c r="H24">
        <v>178.83</v>
      </c>
    </row>
    <row r="25" spans="1:10" x14ac:dyDescent="0.35">
      <c r="A25" s="2">
        <v>45261</v>
      </c>
      <c r="B25">
        <v>183</v>
      </c>
      <c r="C25">
        <v>9</v>
      </c>
      <c r="D25">
        <v>7</v>
      </c>
      <c r="E25">
        <v>3.83</v>
      </c>
      <c r="F25">
        <v>189579.35</v>
      </c>
      <c r="G25">
        <v>1035.95</v>
      </c>
      <c r="H25">
        <v>180.21</v>
      </c>
    </row>
    <row r="26" spans="1:10" x14ac:dyDescent="0.35">
      <c r="A26" s="2">
        <v>45292</v>
      </c>
      <c r="B26">
        <v>186</v>
      </c>
      <c r="C26">
        <v>10</v>
      </c>
      <c r="D26">
        <v>7</v>
      </c>
      <c r="E26">
        <v>3.76</v>
      </c>
      <c r="F26">
        <v>191783.54</v>
      </c>
      <c r="G26">
        <v>1031.0899999999999</v>
      </c>
      <c r="H26">
        <v>275.62</v>
      </c>
    </row>
    <row r="27" spans="1:10" x14ac:dyDescent="0.35">
      <c r="A27" s="2">
        <v>45323</v>
      </c>
      <c r="B27">
        <v>188</v>
      </c>
      <c r="C27">
        <v>7</v>
      </c>
      <c r="D27">
        <v>8</v>
      </c>
      <c r="E27">
        <v>4.26</v>
      </c>
      <c r="F27">
        <v>192379.41</v>
      </c>
      <c r="G27">
        <v>1023.29</v>
      </c>
      <c r="H27">
        <v>142.08000000000001</v>
      </c>
    </row>
    <row r="28" spans="1:10" x14ac:dyDescent="0.35">
      <c r="A28" s="2">
        <v>45352</v>
      </c>
      <c r="B28">
        <v>189</v>
      </c>
      <c r="C28">
        <v>19</v>
      </c>
      <c r="D28">
        <v>4</v>
      </c>
      <c r="E28">
        <v>2.12</v>
      </c>
      <c r="F28">
        <v>196219.33</v>
      </c>
      <c r="G28">
        <v>1038.2</v>
      </c>
      <c r="H28">
        <v>251.87</v>
      </c>
    </row>
    <row r="29" spans="1:10" x14ac:dyDescent="0.35">
      <c r="A29" s="2">
        <v>45383</v>
      </c>
      <c r="B29">
        <v>203</v>
      </c>
      <c r="C29">
        <v>11</v>
      </c>
      <c r="D29">
        <v>8</v>
      </c>
      <c r="E29">
        <v>3.94</v>
      </c>
      <c r="F29">
        <v>200076.61</v>
      </c>
      <c r="G29">
        <v>985.6</v>
      </c>
      <c r="H29">
        <v>212.11</v>
      </c>
    </row>
    <row r="30" spans="1:10" x14ac:dyDescent="0.35">
      <c r="A30" s="2">
        <v>45413</v>
      </c>
      <c r="B30">
        <v>206</v>
      </c>
      <c r="C30">
        <v>14</v>
      </c>
      <c r="D30">
        <v>8</v>
      </c>
      <c r="E30">
        <v>3.88</v>
      </c>
      <c r="F30">
        <v>217117.58</v>
      </c>
      <c r="G30">
        <v>1053.97</v>
      </c>
      <c r="H30">
        <v>139.55000000000001</v>
      </c>
    </row>
    <row r="31" spans="1:10" x14ac:dyDescent="0.35">
      <c r="A31" s="2">
        <v>45444</v>
      </c>
      <c r="B31">
        <v>213</v>
      </c>
      <c r="C31">
        <v>13</v>
      </c>
      <c r="D31">
        <v>9</v>
      </c>
      <c r="E31">
        <v>4.2300000000000004</v>
      </c>
      <c r="F31">
        <v>215810.52</v>
      </c>
      <c r="G31">
        <v>1013.19</v>
      </c>
      <c r="H31">
        <v>241.12</v>
      </c>
    </row>
    <row r="32" spans="1:10" x14ac:dyDescent="0.35">
      <c r="A32" s="2">
        <v>45474</v>
      </c>
      <c r="B32">
        <v>216</v>
      </c>
      <c r="C32">
        <v>14</v>
      </c>
      <c r="D32">
        <v>8</v>
      </c>
      <c r="E32">
        <v>3.7</v>
      </c>
      <c r="F32">
        <v>222303.35999999999</v>
      </c>
      <c r="G32">
        <v>1029.18</v>
      </c>
      <c r="H32">
        <v>201.02</v>
      </c>
    </row>
    <row r="33" spans="1:8" x14ac:dyDescent="0.35">
      <c r="A33" s="2">
        <v>45505</v>
      </c>
      <c r="B33">
        <v>223</v>
      </c>
      <c r="C33">
        <v>12</v>
      </c>
      <c r="D33">
        <v>7</v>
      </c>
      <c r="E33">
        <v>3.14</v>
      </c>
      <c r="F33">
        <v>242222.62</v>
      </c>
      <c r="G33">
        <v>1086.2</v>
      </c>
      <c r="H33">
        <v>128.12</v>
      </c>
    </row>
    <row r="34" spans="1:8" x14ac:dyDescent="0.35">
      <c r="A34" s="2">
        <v>45536</v>
      </c>
      <c r="B34">
        <v>226</v>
      </c>
      <c r="C34">
        <v>11</v>
      </c>
      <c r="D34">
        <v>7</v>
      </c>
      <c r="E34">
        <v>3.1</v>
      </c>
      <c r="F34">
        <v>234749.84</v>
      </c>
      <c r="G34">
        <v>1038.72</v>
      </c>
      <c r="H34">
        <v>125.59</v>
      </c>
    </row>
    <row r="35" spans="1:8" x14ac:dyDescent="0.35">
      <c r="A35" s="2">
        <v>45566</v>
      </c>
      <c r="B35">
        <v>233</v>
      </c>
      <c r="C35">
        <v>13</v>
      </c>
      <c r="D35">
        <v>7</v>
      </c>
      <c r="E35">
        <v>3</v>
      </c>
      <c r="F35">
        <v>239344.73</v>
      </c>
      <c r="G35">
        <v>1027.23</v>
      </c>
      <c r="H35">
        <v>242.79</v>
      </c>
    </row>
    <row r="36" spans="1:8" x14ac:dyDescent="0.35">
      <c r="A36" s="2">
        <v>45597</v>
      </c>
      <c r="B36">
        <v>238</v>
      </c>
      <c r="C36">
        <v>12</v>
      </c>
      <c r="D36">
        <v>9</v>
      </c>
      <c r="E36">
        <v>3.78</v>
      </c>
      <c r="F36">
        <v>253489.47</v>
      </c>
      <c r="G36">
        <v>1065.08</v>
      </c>
      <c r="H36">
        <v>234.58</v>
      </c>
    </row>
    <row r="37" spans="1:8" x14ac:dyDescent="0.35">
      <c r="A37" s="2">
        <v>45627</v>
      </c>
      <c r="B37">
        <v>240</v>
      </c>
      <c r="C37">
        <v>15</v>
      </c>
      <c r="D37">
        <v>9</v>
      </c>
      <c r="E37">
        <v>3.75</v>
      </c>
      <c r="F37">
        <v>260856.24</v>
      </c>
      <c r="G37">
        <v>1086.9000000000001</v>
      </c>
      <c r="H37">
        <v>238.17</v>
      </c>
    </row>
    <row r="38" spans="1:8" x14ac:dyDescent="0.35">
      <c r="A38" s="2">
        <v>45658</v>
      </c>
      <c r="B38">
        <v>247</v>
      </c>
      <c r="C38">
        <v>13</v>
      </c>
      <c r="D38">
        <v>9</v>
      </c>
      <c r="E38">
        <v>3.64</v>
      </c>
      <c r="F38">
        <v>266142.93</v>
      </c>
      <c r="G38">
        <v>1077.5</v>
      </c>
      <c r="H38">
        <v>218.41</v>
      </c>
    </row>
    <row r="39" spans="1:8" x14ac:dyDescent="0.35">
      <c r="A39" s="2">
        <v>45689</v>
      </c>
      <c r="B39">
        <v>251</v>
      </c>
      <c r="C39">
        <v>15</v>
      </c>
      <c r="D39">
        <v>8</v>
      </c>
      <c r="E39">
        <v>3.19</v>
      </c>
      <c r="F39">
        <v>274162.53999999998</v>
      </c>
      <c r="G39">
        <v>1092.28</v>
      </c>
      <c r="H39">
        <v>164.96</v>
      </c>
    </row>
    <row r="40" spans="1:8" x14ac:dyDescent="0.35">
      <c r="A40" s="2">
        <v>45717</v>
      </c>
      <c r="B40">
        <v>257</v>
      </c>
      <c r="C40">
        <v>18</v>
      </c>
      <c r="D40">
        <v>7</v>
      </c>
      <c r="E40">
        <v>2.72</v>
      </c>
      <c r="F40">
        <v>280928.08</v>
      </c>
      <c r="G40">
        <v>1093.1099999999999</v>
      </c>
      <c r="H40">
        <v>138.82</v>
      </c>
    </row>
    <row r="41" spans="1:8" x14ac:dyDescent="0.35">
      <c r="A41" s="2">
        <v>45748</v>
      </c>
      <c r="B41">
        <v>270</v>
      </c>
      <c r="C41">
        <v>13</v>
      </c>
      <c r="D41">
        <v>17</v>
      </c>
      <c r="E41">
        <v>6.3</v>
      </c>
      <c r="F41">
        <v>287791.15000000002</v>
      </c>
      <c r="G41">
        <v>1065.8900000000001</v>
      </c>
      <c r="H41">
        <v>144.11000000000001</v>
      </c>
    </row>
    <row r="42" spans="1:8" x14ac:dyDescent="0.35">
      <c r="A42" s="2">
        <v>45778</v>
      </c>
      <c r="B42">
        <v>264</v>
      </c>
      <c r="C42">
        <v>12</v>
      </c>
      <c r="D42">
        <v>15</v>
      </c>
      <c r="E42">
        <v>5.68</v>
      </c>
      <c r="F42">
        <v>287207.82</v>
      </c>
      <c r="G42">
        <v>1087.9100000000001</v>
      </c>
      <c r="H42">
        <v>149.54</v>
      </c>
    </row>
    <row r="43" spans="1:8" x14ac:dyDescent="0.35">
      <c r="A43" s="2">
        <v>45809</v>
      </c>
      <c r="B43">
        <v>261</v>
      </c>
      <c r="C43">
        <v>15</v>
      </c>
      <c r="D43">
        <v>11</v>
      </c>
      <c r="E43">
        <v>4.21</v>
      </c>
      <c r="F43">
        <v>280683.13</v>
      </c>
      <c r="G43">
        <v>1075.4100000000001</v>
      </c>
      <c r="H43">
        <v>238.11</v>
      </c>
    </row>
    <row r="44" spans="1:8" x14ac:dyDescent="0.35">
      <c r="A44" s="2">
        <v>45839</v>
      </c>
      <c r="B44">
        <v>265</v>
      </c>
      <c r="C44">
        <v>9</v>
      </c>
      <c r="D44">
        <v>9</v>
      </c>
      <c r="E44">
        <v>3.4</v>
      </c>
      <c r="F44">
        <v>287661.73</v>
      </c>
      <c r="G44">
        <v>1085.52</v>
      </c>
      <c r="H44">
        <v>150.51</v>
      </c>
    </row>
    <row r="45" spans="1:8" x14ac:dyDescent="0.35">
      <c r="A45" s="2">
        <v>45870</v>
      </c>
      <c r="B45">
        <v>265</v>
      </c>
      <c r="C45">
        <v>7</v>
      </c>
      <c r="D45">
        <v>7</v>
      </c>
      <c r="E45">
        <v>2.64</v>
      </c>
      <c r="F45">
        <v>287743</v>
      </c>
      <c r="G45">
        <v>1085.82</v>
      </c>
      <c r="H45">
        <v>129.38</v>
      </c>
    </row>
    <row r="46" spans="1:8" x14ac:dyDescent="0.35">
      <c r="A46" s="2">
        <v>45901</v>
      </c>
      <c r="B46">
        <v>265</v>
      </c>
      <c r="C46">
        <v>13</v>
      </c>
      <c r="D46">
        <v>9</v>
      </c>
      <c r="E46">
        <v>3.4</v>
      </c>
      <c r="F46">
        <v>290824.44</v>
      </c>
      <c r="G46">
        <v>1097.45</v>
      </c>
      <c r="H46">
        <v>182.15</v>
      </c>
    </row>
    <row r="47" spans="1:8" x14ac:dyDescent="0.35">
      <c r="A47" s="2">
        <v>45931</v>
      </c>
      <c r="B47">
        <v>269</v>
      </c>
      <c r="C47">
        <v>18</v>
      </c>
      <c r="D47">
        <v>9</v>
      </c>
      <c r="E47">
        <v>3.35</v>
      </c>
      <c r="F47">
        <v>280089.15000000002</v>
      </c>
      <c r="G47">
        <v>1041.22</v>
      </c>
      <c r="H47">
        <v>250.08</v>
      </c>
    </row>
    <row r="48" spans="1:8" x14ac:dyDescent="0.35">
      <c r="A48" s="2">
        <v>45962</v>
      </c>
      <c r="B48">
        <v>278</v>
      </c>
      <c r="C48">
        <v>11</v>
      </c>
      <c r="D48">
        <v>9</v>
      </c>
      <c r="E48">
        <v>3.24</v>
      </c>
      <c r="F48">
        <v>285261.36</v>
      </c>
      <c r="G48">
        <v>1026.1199999999999</v>
      </c>
      <c r="H48">
        <v>254.4</v>
      </c>
    </row>
    <row r="49" spans="1:8" x14ac:dyDescent="0.35">
      <c r="A49" s="2">
        <v>45992</v>
      </c>
      <c r="B49">
        <v>281</v>
      </c>
      <c r="C49">
        <v>11</v>
      </c>
      <c r="D49">
        <v>4</v>
      </c>
      <c r="E49">
        <v>1.42</v>
      </c>
      <c r="F49">
        <v>292628.61</v>
      </c>
      <c r="G49">
        <v>1041.3800000000001</v>
      </c>
      <c r="H49">
        <v>151.47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8293C-CF37-4F7B-9988-FA9F3B4968A5}">
  <dimension ref="A1:C5"/>
  <sheetViews>
    <sheetView workbookViewId="0">
      <selection activeCell="B15" sqref="B15"/>
    </sheetView>
  </sheetViews>
  <sheetFormatPr defaultRowHeight="13.5" x14ac:dyDescent="0.35"/>
  <sheetData>
    <row r="1" spans="1:3" x14ac:dyDescent="0.35">
      <c r="A1" t="s">
        <v>666</v>
      </c>
    </row>
    <row r="2" spans="1:3" x14ac:dyDescent="0.35">
      <c r="A2">
        <f>COUNTA(Subscriptions[customer_id])</f>
        <v>600</v>
      </c>
    </row>
    <row r="3" spans="1:3" x14ac:dyDescent="0.35">
      <c r="A3" t="s">
        <v>667</v>
      </c>
    </row>
    <row r="4" spans="1:3" x14ac:dyDescent="0.35">
      <c r="A4">
        <f>COUNTIF(Subscriptions[churned], "Yes")</f>
        <v>313</v>
      </c>
    </row>
    <row r="5" spans="1:3" x14ac:dyDescent="0.35">
      <c r="A5">
        <f>COUNTIF(Subscriptions[churned],"Yes")/COUNTA(Subscriptions[customer_id])</f>
        <v>0.52166666666666661</v>
      </c>
      <c r="C5" t="s">
        <v>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8CEEE-8D7E-4EE2-8A26-9C9DC84F5A98}">
  <dimension ref="A1:E19"/>
  <sheetViews>
    <sheetView tabSelected="1" workbookViewId="0">
      <selection activeCell="H9" sqref="H9"/>
    </sheetView>
  </sheetViews>
  <sheetFormatPr defaultRowHeight="13.5" x14ac:dyDescent="0.35"/>
  <cols>
    <col min="1" max="1" width="20.75" bestFit="1" customWidth="1"/>
    <col min="2" max="2" width="15.875" bestFit="1" customWidth="1"/>
    <col min="3" max="4" width="11.6875" bestFit="1" customWidth="1"/>
  </cols>
  <sheetData>
    <row r="1" spans="1:5" x14ac:dyDescent="0.35">
      <c r="A1" s="3" t="s">
        <v>669</v>
      </c>
      <c r="B1" t="s">
        <v>671</v>
      </c>
      <c r="C1" t="s">
        <v>673</v>
      </c>
      <c r="D1" t="s">
        <v>674</v>
      </c>
    </row>
    <row r="2" spans="1:5" x14ac:dyDescent="0.35">
      <c r="A2" s="4" t="s">
        <v>37</v>
      </c>
      <c r="B2" s="1">
        <v>160</v>
      </c>
      <c r="C2" s="1">
        <v>66</v>
      </c>
      <c r="D2" s="7">
        <f>GETPIVOTDATA("Sum of Churn_Flag",$A$1,"plan","Business")/GETPIVOTDATA("Count of customer_id",$A$1,"plan","Business")</f>
        <v>0.41249999999999998</v>
      </c>
      <c r="E2" t="s">
        <v>675</v>
      </c>
    </row>
    <row r="3" spans="1:5" x14ac:dyDescent="0.35">
      <c r="A3" s="4" t="s">
        <v>74</v>
      </c>
      <c r="B3" s="1">
        <v>50</v>
      </c>
      <c r="C3" s="1">
        <v>11</v>
      </c>
      <c r="D3" s="7">
        <f>GETPIVOTDATA("Sum of Churn_Flag",$A$1,"plan","Enterprise")/GETPIVOTDATA("Count of customer_id",$A$1,"plan","Enterprise")</f>
        <v>0.22</v>
      </c>
    </row>
    <row r="4" spans="1:5" x14ac:dyDescent="0.35">
      <c r="A4" s="4" t="s">
        <v>18</v>
      </c>
      <c r="B4" s="1">
        <v>173</v>
      </c>
      <c r="C4" s="1">
        <v>83</v>
      </c>
      <c r="D4" s="7">
        <f>GETPIVOTDATA("Sum of Churn_Flag",$A$1,"plan","Professional")/GETPIVOTDATA("Count of customer_id",$A$1,"plan","Professional")</f>
        <v>0.47976878612716761</v>
      </c>
    </row>
    <row r="5" spans="1:5" x14ac:dyDescent="0.35">
      <c r="A5" s="4" t="s">
        <v>32</v>
      </c>
      <c r="B5" s="1">
        <v>217</v>
      </c>
      <c r="C5" s="1">
        <v>153</v>
      </c>
      <c r="D5" s="7">
        <f>GETPIVOTDATA("Sum of Churn_Flag",$A$1,"plan","Starter")/GETPIVOTDATA("Count of customer_id",$A$1,"plan","Starter")</f>
        <v>0.70506912442396308</v>
      </c>
    </row>
    <row r="6" spans="1:5" x14ac:dyDescent="0.35">
      <c r="A6" s="4" t="s">
        <v>670</v>
      </c>
      <c r="B6" s="1">
        <v>600</v>
      </c>
      <c r="C6" s="1">
        <v>313</v>
      </c>
      <c r="D6" s="7">
        <f>GETPIVOTDATA("Sum of Churn_Flag",$A$1)/GETPIVOTDATA("Count of customer_id",$A$1)</f>
        <v>0.52166666666666661</v>
      </c>
    </row>
    <row r="8" spans="1:5" x14ac:dyDescent="0.35">
      <c r="A8" s="3" t="s">
        <v>669</v>
      </c>
      <c r="B8" t="s">
        <v>671</v>
      </c>
      <c r="C8" t="s">
        <v>673</v>
      </c>
    </row>
    <row r="9" spans="1:5" x14ac:dyDescent="0.35">
      <c r="A9" s="4" t="s">
        <v>28</v>
      </c>
      <c r="B9" s="1">
        <v>248</v>
      </c>
      <c r="C9" s="1">
        <v>100</v>
      </c>
      <c r="D9" s="6">
        <f>GETPIVOTDATA("Sum of Churn_Flag",$A$8,"billing_cycle","Annual")/GETPIVOTDATA("Count of customer_id",$A$8,"billing_cycle","Annual")</f>
        <v>0.40322580645161288</v>
      </c>
      <c r="E9" t="s">
        <v>675</v>
      </c>
    </row>
    <row r="10" spans="1:5" x14ac:dyDescent="0.35">
      <c r="A10" s="4" t="s">
        <v>19</v>
      </c>
      <c r="B10" s="1">
        <v>352</v>
      </c>
      <c r="C10" s="1">
        <v>213</v>
      </c>
      <c r="D10" s="6">
        <f>GETPIVOTDATA("Sum of Churn_Flag",$A$8,"billing_cycle","Monthly")/GETPIVOTDATA("Count of customer_id",$A$8,"billing_cycle","Monthly")</f>
        <v>0.60511363636363635</v>
      </c>
    </row>
    <row r="11" spans="1:5" x14ac:dyDescent="0.35">
      <c r="A11" s="4" t="s">
        <v>670</v>
      </c>
      <c r="B11" s="1">
        <v>600</v>
      </c>
      <c r="C11" s="1">
        <v>313</v>
      </c>
    </row>
    <row r="13" spans="1:5" x14ac:dyDescent="0.35">
      <c r="A13" s="3" t="s">
        <v>677</v>
      </c>
      <c r="B13" s="3" t="s">
        <v>676</v>
      </c>
    </row>
    <row r="14" spans="1:5" x14ac:dyDescent="0.35">
      <c r="A14" s="3" t="s">
        <v>669</v>
      </c>
      <c r="B14" t="s">
        <v>28</v>
      </c>
      <c r="C14" t="s">
        <v>19</v>
      </c>
      <c r="D14" t="s">
        <v>670</v>
      </c>
    </row>
    <row r="15" spans="1:5" x14ac:dyDescent="0.35">
      <c r="A15" s="4" t="s">
        <v>37</v>
      </c>
      <c r="B15" s="8">
        <v>0.27397260273972601</v>
      </c>
      <c r="C15" s="8">
        <v>0.52873563218390807</v>
      </c>
      <c r="D15" s="1">
        <v>0.41249999999999998</v>
      </c>
    </row>
    <row r="16" spans="1:5" x14ac:dyDescent="0.35">
      <c r="A16" s="4" t="s">
        <v>74</v>
      </c>
      <c r="B16" s="8">
        <v>0.22222222222222221</v>
      </c>
      <c r="C16" s="8">
        <v>0.21875</v>
      </c>
      <c r="D16" s="1">
        <v>0.22</v>
      </c>
    </row>
    <row r="17" spans="1:4" x14ac:dyDescent="0.35">
      <c r="A17" s="4" t="s">
        <v>18</v>
      </c>
      <c r="B17" s="8">
        <v>0.35135135135135137</v>
      </c>
      <c r="C17" s="8">
        <v>0.5757575757575758</v>
      </c>
      <c r="D17" s="1">
        <v>0.47976878612716761</v>
      </c>
    </row>
    <row r="18" spans="1:4" x14ac:dyDescent="0.35">
      <c r="A18" s="4" t="s">
        <v>32</v>
      </c>
      <c r="B18" s="8">
        <v>0.60240963855421692</v>
      </c>
      <c r="C18" s="8">
        <v>0.76865671641791045</v>
      </c>
      <c r="D18" s="1">
        <v>0.70506912442396308</v>
      </c>
    </row>
    <row r="19" spans="1:4" x14ac:dyDescent="0.35">
      <c r="A19" s="4" t="s">
        <v>670</v>
      </c>
      <c r="B19" s="1">
        <v>0.40322580645161288</v>
      </c>
      <c r="C19" s="1">
        <v>0.60511363636363635</v>
      </c>
      <c r="D19" s="1">
        <v>0.52166666666666661</v>
      </c>
    </row>
  </sheetData>
  <pageMargins left="0.7" right="0.7" top="0.75" bottom="0.75" header="0.3" footer="0.3"/>
  <pageSetup paperSize="9"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C947A-77F3-4B33-B042-D57FA0E12A1A}">
  <dimension ref="A1:L49"/>
  <sheetViews>
    <sheetView topLeftCell="C1" workbookViewId="0">
      <selection activeCell="J12" sqref="J12"/>
    </sheetView>
  </sheetViews>
  <sheetFormatPr defaultRowHeight="13.5" x14ac:dyDescent="0.35"/>
  <cols>
    <col min="1" max="1" width="22.75" bestFit="1" customWidth="1"/>
    <col min="2" max="2" width="19.6875" bestFit="1" customWidth="1"/>
    <col min="7" max="7" width="21.3125" bestFit="1" customWidth="1"/>
    <col min="8" max="8" width="19.6875" bestFit="1" customWidth="1"/>
    <col min="11" max="11" width="21.3125" bestFit="1" customWidth="1"/>
    <col min="12" max="12" width="19.6875" bestFit="1" customWidth="1"/>
  </cols>
  <sheetData>
    <row r="1" spans="1:12" x14ac:dyDescent="0.35">
      <c r="A1" s="3" t="s">
        <v>10</v>
      </c>
      <c r="B1" t="s">
        <v>678</v>
      </c>
      <c r="G1" s="3" t="s">
        <v>10</v>
      </c>
      <c r="H1" t="s">
        <v>24</v>
      </c>
      <c r="K1" s="3" t="s">
        <v>10</v>
      </c>
      <c r="L1" t="s">
        <v>678</v>
      </c>
    </row>
    <row r="3" spans="1:12" x14ac:dyDescent="0.35">
      <c r="A3" s="3" t="s">
        <v>669</v>
      </c>
      <c r="B3" t="s">
        <v>671</v>
      </c>
      <c r="G3" s="3" t="s">
        <v>669</v>
      </c>
      <c r="H3" t="s">
        <v>671</v>
      </c>
      <c r="K3" s="3" t="s">
        <v>669</v>
      </c>
      <c r="L3" t="s">
        <v>671</v>
      </c>
    </row>
    <row r="4" spans="1:12" x14ac:dyDescent="0.35">
      <c r="A4" s="4"/>
      <c r="B4" s="1">
        <v>287</v>
      </c>
      <c r="G4" s="4" t="s">
        <v>37</v>
      </c>
      <c r="H4" s="8">
        <v>0.2108626198083067</v>
      </c>
      <c r="K4" s="4" t="s">
        <v>45</v>
      </c>
      <c r="L4" s="8">
        <v>0.26166666666666666</v>
      </c>
    </row>
    <row r="5" spans="1:12" x14ac:dyDescent="0.35">
      <c r="A5" s="9" t="s">
        <v>56</v>
      </c>
      <c r="B5" s="10">
        <v>53</v>
      </c>
      <c r="C5" t="s">
        <v>679</v>
      </c>
      <c r="G5" s="5" t="s">
        <v>59</v>
      </c>
      <c r="H5" s="8">
        <v>0.12121212121212122</v>
      </c>
      <c r="K5" s="5"/>
      <c r="L5" s="8">
        <v>0.43312101910828027</v>
      </c>
    </row>
    <row r="6" spans="1:12" x14ac:dyDescent="0.35">
      <c r="A6" s="9" t="s">
        <v>59</v>
      </c>
      <c r="B6" s="10">
        <v>48</v>
      </c>
      <c r="G6" s="5" t="s">
        <v>56</v>
      </c>
      <c r="H6" s="8">
        <v>0.15151515151515152</v>
      </c>
      <c r="K6" s="5" t="s">
        <v>56</v>
      </c>
      <c r="L6" s="8">
        <v>0.12738853503184713</v>
      </c>
    </row>
    <row r="7" spans="1:12" x14ac:dyDescent="0.35">
      <c r="A7" s="9" t="s">
        <v>85</v>
      </c>
      <c r="B7" s="10">
        <v>40</v>
      </c>
      <c r="G7" s="5" t="s">
        <v>85</v>
      </c>
      <c r="H7" s="8">
        <v>0.18181818181818182</v>
      </c>
      <c r="K7" s="5" t="s">
        <v>59</v>
      </c>
      <c r="L7" s="8">
        <v>8.2802547770700632E-2</v>
      </c>
    </row>
    <row r="8" spans="1:12" x14ac:dyDescent="0.35">
      <c r="A8" s="4" t="s">
        <v>66</v>
      </c>
      <c r="B8" s="1">
        <v>41</v>
      </c>
      <c r="G8" s="5" t="s">
        <v>66</v>
      </c>
      <c r="H8" s="8">
        <v>0.16666666666666666</v>
      </c>
      <c r="K8" s="5" t="s">
        <v>85</v>
      </c>
      <c r="L8" s="8">
        <v>6.3694267515923567E-2</v>
      </c>
    </row>
    <row r="9" spans="1:12" x14ac:dyDescent="0.35">
      <c r="A9" s="4" t="s">
        <v>49</v>
      </c>
      <c r="B9" s="1">
        <v>42</v>
      </c>
      <c r="G9" s="5" t="s">
        <v>49</v>
      </c>
      <c r="H9" s="8">
        <v>0.16666666666666666</v>
      </c>
      <c r="K9" s="5" t="s">
        <v>66</v>
      </c>
      <c r="L9" s="8">
        <v>7.6433121019108277E-2</v>
      </c>
    </row>
    <row r="10" spans="1:12" x14ac:dyDescent="0.35">
      <c r="A10" s="4" t="s">
        <v>25</v>
      </c>
      <c r="B10" s="1">
        <v>51</v>
      </c>
      <c r="G10" s="5" t="s">
        <v>25</v>
      </c>
      <c r="H10" s="8">
        <v>0.10606060606060606</v>
      </c>
      <c r="K10" s="5" t="s">
        <v>49</v>
      </c>
      <c r="L10" s="8">
        <v>7.0063694267515922E-2</v>
      </c>
    </row>
    <row r="11" spans="1:12" x14ac:dyDescent="0.35">
      <c r="A11" s="4" t="s">
        <v>53</v>
      </c>
      <c r="B11" s="1">
        <v>38</v>
      </c>
      <c r="G11" s="5" t="s">
        <v>53</v>
      </c>
      <c r="H11" s="8">
        <v>0.10606060606060606</v>
      </c>
      <c r="K11" s="5" t="s">
        <v>25</v>
      </c>
      <c r="L11" s="8">
        <v>0.10191082802547771</v>
      </c>
    </row>
    <row r="12" spans="1:12" x14ac:dyDescent="0.35">
      <c r="A12" s="4" t="s">
        <v>670</v>
      </c>
      <c r="B12" s="1">
        <v>600</v>
      </c>
      <c r="G12" s="4" t="s">
        <v>74</v>
      </c>
      <c r="H12" s="8">
        <v>3.5143769968051117E-2</v>
      </c>
      <c r="K12" s="5" t="s">
        <v>53</v>
      </c>
      <c r="L12" s="8">
        <v>4.4585987261146494E-2</v>
      </c>
    </row>
    <row r="13" spans="1:12" x14ac:dyDescent="0.35">
      <c r="G13" s="5" t="s">
        <v>59</v>
      </c>
      <c r="H13" s="8">
        <v>0.27272727272727271</v>
      </c>
      <c r="K13" s="4" t="s">
        <v>39</v>
      </c>
      <c r="L13" s="8">
        <v>0.29333333333333333</v>
      </c>
    </row>
    <row r="14" spans="1:12" x14ac:dyDescent="0.35">
      <c r="G14" s="5" t="s">
        <v>85</v>
      </c>
      <c r="H14" s="8">
        <v>9.0909090909090912E-2</v>
      </c>
      <c r="K14" s="5"/>
      <c r="L14" s="8">
        <v>0.47159090909090912</v>
      </c>
    </row>
    <row r="15" spans="1:12" x14ac:dyDescent="0.35">
      <c r="G15" s="5" t="s">
        <v>66</v>
      </c>
      <c r="H15" s="8">
        <v>0.27272727272727271</v>
      </c>
      <c r="K15" s="5" t="s">
        <v>56</v>
      </c>
      <c r="L15" s="8">
        <v>4.5454545454545456E-2</v>
      </c>
    </row>
    <row r="16" spans="1:12" x14ac:dyDescent="0.35">
      <c r="G16" s="5" t="s">
        <v>49</v>
      </c>
      <c r="H16" s="8">
        <v>9.0909090909090912E-2</v>
      </c>
      <c r="K16" s="5" t="s">
        <v>59</v>
      </c>
      <c r="L16" s="8">
        <v>9.0909090909090912E-2</v>
      </c>
    </row>
    <row r="17" spans="7:12" x14ac:dyDescent="0.35">
      <c r="G17" s="5" t="s">
        <v>25</v>
      </c>
      <c r="H17" s="8">
        <v>9.0909090909090912E-2</v>
      </c>
      <c r="K17" s="5" t="s">
        <v>85</v>
      </c>
      <c r="L17" s="8">
        <v>6.8181818181818177E-2</v>
      </c>
    </row>
    <row r="18" spans="7:12" x14ac:dyDescent="0.35">
      <c r="G18" s="5" t="s">
        <v>53</v>
      </c>
      <c r="H18" s="8">
        <v>0.18181818181818182</v>
      </c>
      <c r="K18" s="5" t="s">
        <v>66</v>
      </c>
      <c r="L18" s="8">
        <v>9.6590909090909088E-2</v>
      </c>
    </row>
    <row r="19" spans="7:12" x14ac:dyDescent="0.35">
      <c r="G19" s="4" t="s">
        <v>18</v>
      </c>
      <c r="H19" s="8">
        <v>0.26517571884984026</v>
      </c>
      <c r="K19" s="5" t="s">
        <v>49</v>
      </c>
      <c r="L19" s="8">
        <v>7.9545454545454544E-2</v>
      </c>
    </row>
    <row r="20" spans="7:12" x14ac:dyDescent="0.35">
      <c r="G20" s="5" t="s">
        <v>59</v>
      </c>
      <c r="H20" s="8">
        <v>0.15662650602409639</v>
      </c>
      <c r="K20" s="5" t="s">
        <v>25</v>
      </c>
      <c r="L20" s="8">
        <v>7.3863636363636367E-2</v>
      </c>
    </row>
    <row r="21" spans="7:12" x14ac:dyDescent="0.35">
      <c r="G21" s="5" t="s">
        <v>56</v>
      </c>
      <c r="H21" s="8">
        <v>0.16867469879518071</v>
      </c>
      <c r="K21" s="5" t="s">
        <v>53</v>
      </c>
      <c r="L21" s="8">
        <v>7.3863636363636367E-2</v>
      </c>
    </row>
    <row r="22" spans="7:12" x14ac:dyDescent="0.35">
      <c r="G22" s="5" t="s">
        <v>85</v>
      </c>
      <c r="H22" s="8">
        <v>0.14457831325301204</v>
      </c>
      <c r="K22" s="4" t="s">
        <v>48</v>
      </c>
      <c r="L22" s="8">
        <v>0.14666666666666667</v>
      </c>
    </row>
    <row r="23" spans="7:12" x14ac:dyDescent="0.35">
      <c r="G23" s="5" t="s">
        <v>66</v>
      </c>
      <c r="H23" s="8">
        <v>0.10843373493975904</v>
      </c>
      <c r="K23" s="5"/>
      <c r="L23" s="8">
        <v>0.46590909090909088</v>
      </c>
    </row>
    <row r="24" spans="7:12" x14ac:dyDescent="0.35">
      <c r="G24" s="5" t="s">
        <v>49</v>
      </c>
      <c r="H24" s="8">
        <v>0.13253012048192772</v>
      </c>
      <c r="K24" s="5" t="s">
        <v>56</v>
      </c>
      <c r="L24" s="8">
        <v>0.125</v>
      </c>
    </row>
    <row r="25" spans="7:12" x14ac:dyDescent="0.35">
      <c r="G25" s="5" t="s">
        <v>25</v>
      </c>
      <c r="H25" s="8">
        <v>0.16867469879518071</v>
      </c>
      <c r="K25" s="5" t="s">
        <v>59</v>
      </c>
      <c r="L25" s="8">
        <v>4.5454545454545456E-2</v>
      </c>
    </row>
    <row r="26" spans="7:12" x14ac:dyDescent="0.35">
      <c r="G26" s="5" t="s">
        <v>53</v>
      </c>
      <c r="H26" s="8">
        <v>0.12048192771084337</v>
      </c>
      <c r="K26" s="5" t="s">
        <v>85</v>
      </c>
      <c r="L26" s="8">
        <v>9.0909090909090912E-2</v>
      </c>
    </row>
    <row r="27" spans="7:12" x14ac:dyDescent="0.35">
      <c r="G27" s="4" t="s">
        <v>32</v>
      </c>
      <c r="H27" s="8">
        <v>0.48881789137380194</v>
      </c>
      <c r="K27" s="5" t="s">
        <v>66</v>
      </c>
      <c r="L27" s="8">
        <v>4.5454545454545456E-2</v>
      </c>
    </row>
    <row r="28" spans="7:12" x14ac:dyDescent="0.35">
      <c r="G28" s="5" t="s">
        <v>59</v>
      </c>
      <c r="H28" s="8">
        <v>0.15686274509803921</v>
      </c>
      <c r="K28" s="5" t="s">
        <v>49</v>
      </c>
      <c r="L28" s="8">
        <v>5.6818181818181816E-2</v>
      </c>
    </row>
    <row r="29" spans="7:12" x14ac:dyDescent="0.35">
      <c r="G29" s="5" t="s">
        <v>56</v>
      </c>
      <c r="H29" s="8">
        <v>0.18954248366013071</v>
      </c>
      <c r="K29" s="5" t="s">
        <v>25</v>
      </c>
      <c r="L29" s="8">
        <v>9.0909090909090912E-2</v>
      </c>
    </row>
    <row r="30" spans="7:12" x14ac:dyDescent="0.35">
      <c r="G30" s="5" t="s">
        <v>85</v>
      </c>
      <c r="H30" s="8">
        <v>9.8039215686274508E-2</v>
      </c>
      <c r="K30" s="5" t="s">
        <v>53</v>
      </c>
      <c r="L30" s="8">
        <v>7.9545454545454544E-2</v>
      </c>
    </row>
    <row r="31" spans="7:12" x14ac:dyDescent="0.35">
      <c r="G31" s="5" t="s">
        <v>66</v>
      </c>
      <c r="H31" s="8">
        <v>0.11764705882352941</v>
      </c>
      <c r="K31" s="4" t="s">
        <v>34</v>
      </c>
      <c r="L31" s="8">
        <v>6.3333333333333339E-2</v>
      </c>
    </row>
    <row r="32" spans="7:12" x14ac:dyDescent="0.35">
      <c r="G32" s="5" t="s">
        <v>49</v>
      </c>
      <c r="H32" s="8">
        <v>0.12418300653594772</v>
      </c>
      <c r="K32" s="5"/>
      <c r="L32" s="8">
        <v>0.36842105263157893</v>
      </c>
    </row>
    <row r="33" spans="7:12" x14ac:dyDescent="0.35">
      <c r="G33" s="5" t="s">
        <v>25</v>
      </c>
      <c r="H33" s="8">
        <v>0.18954248366013071</v>
      </c>
      <c r="K33" s="5" t="s">
        <v>56</v>
      </c>
      <c r="L33" s="8">
        <v>7.8947368421052627E-2</v>
      </c>
    </row>
    <row r="34" spans="7:12" x14ac:dyDescent="0.35">
      <c r="G34" s="5" t="s">
        <v>53</v>
      </c>
      <c r="H34" s="8">
        <v>0.12418300653594772</v>
      </c>
      <c r="K34" s="5" t="s">
        <v>59</v>
      </c>
      <c r="L34" s="8">
        <v>0.13157894736842105</v>
      </c>
    </row>
    <row r="35" spans="7:12" x14ac:dyDescent="0.35">
      <c r="G35" s="4" t="s">
        <v>670</v>
      </c>
      <c r="H35" s="8">
        <v>1</v>
      </c>
      <c r="K35" s="5" t="s">
        <v>85</v>
      </c>
      <c r="L35" s="8">
        <v>7.8947368421052627E-2</v>
      </c>
    </row>
    <row r="36" spans="7:12" x14ac:dyDescent="0.35">
      <c r="K36" s="5" t="s">
        <v>66</v>
      </c>
      <c r="L36" s="8">
        <v>5.2631578947368418E-2</v>
      </c>
    </row>
    <row r="37" spans="7:12" x14ac:dyDescent="0.35">
      <c r="K37" s="5" t="s">
        <v>49</v>
      </c>
      <c r="L37" s="8">
        <v>0.13157894736842105</v>
      </c>
    </row>
    <row r="38" spans="7:12" x14ac:dyDescent="0.35">
      <c r="K38" s="5" t="s">
        <v>25</v>
      </c>
      <c r="L38" s="8">
        <v>7.8947368421052627E-2</v>
      </c>
    </row>
    <row r="39" spans="7:12" x14ac:dyDescent="0.35">
      <c r="K39" s="5" t="s">
        <v>53</v>
      </c>
      <c r="L39" s="8">
        <v>7.8947368421052627E-2</v>
      </c>
    </row>
    <row r="40" spans="7:12" x14ac:dyDescent="0.35">
      <c r="K40" s="4" t="s">
        <v>21</v>
      </c>
      <c r="L40" s="8">
        <v>0.23499999999999999</v>
      </c>
    </row>
    <row r="41" spans="7:12" x14ac:dyDescent="0.35">
      <c r="K41" s="5"/>
      <c r="L41" s="8">
        <v>0.57446808510638303</v>
      </c>
    </row>
    <row r="42" spans="7:12" x14ac:dyDescent="0.35">
      <c r="K42" s="5" t="s">
        <v>56</v>
      </c>
      <c r="L42" s="8">
        <v>7.8014184397163122E-2</v>
      </c>
    </row>
    <row r="43" spans="7:12" x14ac:dyDescent="0.35">
      <c r="K43" s="5" t="s">
        <v>59</v>
      </c>
      <c r="L43" s="8">
        <v>7.0921985815602842E-2</v>
      </c>
    </row>
    <row r="44" spans="7:12" x14ac:dyDescent="0.35">
      <c r="K44" s="5" t="s">
        <v>85</v>
      </c>
      <c r="L44" s="8">
        <v>4.9645390070921988E-2</v>
      </c>
    </row>
    <row r="45" spans="7:12" x14ac:dyDescent="0.35">
      <c r="K45" s="5" t="s">
        <v>66</v>
      </c>
      <c r="L45" s="8">
        <v>4.2553191489361701E-2</v>
      </c>
    </row>
    <row r="46" spans="7:12" x14ac:dyDescent="0.35">
      <c r="K46" s="5" t="s">
        <v>49</v>
      </c>
      <c r="L46" s="8">
        <v>4.9645390070921988E-2</v>
      </c>
    </row>
    <row r="47" spans="7:12" x14ac:dyDescent="0.35">
      <c r="K47" s="5" t="s">
        <v>25</v>
      </c>
      <c r="L47" s="8">
        <v>7.8014184397163122E-2</v>
      </c>
    </row>
    <row r="48" spans="7:12" x14ac:dyDescent="0.35">
      <c r="K48" s="5" t="s">
        <v>53</v>
      </c>
      <c r="L48" s="8">
        <v>5.6737588652482268E-2</v>
      </c>
    </row>
    <row r="49" spans="11:12" x14ac:dyDescent="0.35">
      <c r="K49" s="4" t="s">
        <v>670</v>
      </c>
      <c r="L49" s="8">
        <v>1</v>
      </c>
    </row>
  </sheetData>
  <pageMargins left="0.7" right="0.7" top="0.75" bottom="0.75" header="0.3" footer="0.3"/>
  <pageSetup paperSize="9"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0B94C-2064-4DA1-A15B-52ABCFA726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Subscriptions</vt:lpstr>
      <vt:lpstr>Monthly Revenue</vt:lpstr>
      <vt:lpstr>Validation</vt:lpstr>
      <vt:lpstr>Pivot - Churn</vt:lpstr>
      <vt:lpstr>Pivot - Reasons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Thị Mỹ Hạnh Đoàn</dc:creator>
  <cp:lastModifiedBy>Thị Mỹ Hạnh Đoàn</cp:lastModifiedBy>
  <dcterms:created xsi:type="dcterms:W3CDTF">2026-08-23T15:00:04Z</dcterms:created>
  <dcterms:modified xsi:type="dcterms:W3CDTF">2026-08-24T07:29:48Z</dcterms:modified>
</cp:coreProperties>
</file>